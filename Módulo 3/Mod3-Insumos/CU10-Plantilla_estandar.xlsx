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ehimyRincón\Downloads\"/>
    </mc:Choice>
  </mc:AlternateContent>
  <xr:revisionPtr revIDLastSave="0" documentId="13_ncr:1_{ABACC881-7524-4FF9-A590-AA6AC31E47DF}" xr6:coauthVersionLast="47" xr6:coauthVersionMax="47" xr10:uidLastSave="{00000000-0000-0000-0000-000000000000}"/>
  <bookViews>
    <workbookView xWindow="31050" yWindow="1275" windowWidth="23250" windowHeight="12450" activeTab="1" xr2:uid="{00000000-000D-0000-FFFF-FFFF00000000}"/>
  </bookViews>
  <sheets>
    <sheet name="Indicadores" sheetId="1" r:id="rId1"/>
    <sheet name="Detalle semanal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I14" i="1" s="1"/>
  <c r="G14" i="1"/>
  <c r="H13" i="1"/>
  <c r="I13" i="1" s="1"/>
  <c r="G13" i="1"/>
  <c r="H12" i="1"/>
  <c r="I12" i="1" s="1"/>
  <c r="G12" i="1"/>
  <c r="H11" i="1"/>
  <c r="I11" i="1" s="1"/>
  <c r="G11" i="1"/>
  <c r="H10" i="1"/>
  <c r="I10" i="1" s="1"/>
  <c r="G10" i="1"/>
  <c r="I9" i="1"/>
  <c r="H9" i="1"/>
  <c r="G9" i="1"/>
  <c r="H8" i="1"/>
  <c r="I8" i="1" s="1"/>
  <c r="G8" i="1"/>
  <c r="H7" i="1"/>
  <c r="I7" i="1" s="1"/>
  <c r="G7" i="1"/>
  <c r="H6" i="1"/>
  <c r="I6" i="1" s="1"/>
  <c r="G6" i="1"/>
  <c r="I5" i="1"/>
  <c r="H5" i="1"/>
  <c r="G5" i="1"/>
  <c r="H3" i="1"/>
  <c r="F3" i="1" l="1"/>
  <c r="D3" i="1"/>
  <c r="B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J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Puedes cambiar los datos de entrada en E y F para generar otros ejemplos.</t>
        </r>
      </text>
    </comment>
    <comment ref="I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Calculado automáticamente a partir del cumplimiento.</t>
        </r>
      </text>
    </comment>
    <comment ref="I6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Calculado automáticamente a partir del cumplimiento.</t>
        </r>
      </text>
    </comment>
    <comment ref="I7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Calculado automáticamente a partir del cumplimiento.</t>
        </r>
      </text>
    </comment>
    <comment ref="I8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Calculado automáticamente a partir del cumplimiento.</t>
        </r>
      </text>
    </comment>
    <comment ref="I9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Calculado automáticamente a partir del cumplimiento.</t>
        </r>
      </text>
    </comment>
    <comment ref="I10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Calculado automáticamente a partir del cumplimiento.</t>
        </r>
      </text>
    </comment>
    <comment ref="I1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Calculado automáticamente a partir del cumplimiento.</t>
        </r>
      </text>
    </comment>
    <comment ref="I1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Calculado automáticamente a partir del cumplimiento.</t>
        </r>
      </text>
    </comment>
    <comment ref="I13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Calculado automáticamente a partir del cumplimiento.</t>
        </r>
      </text>
    </comment>
    <comment ref="I14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Calculado automáticamente a partir del cumplimiento.</t>
        </r>
      </text>
    </comment>
  </commentList>
</comments>
</file>

<file path=xl/sharedStrings.xml><?xml version="1.0" encoding="utf-8"?>
<sst xmlns="http://schemas.openxmlformats.org/spreadsheetml/2006/main" count="96" uniqueCount="55">
  <si>
    <t>Ejemplo para Módulo 3 - Plantilla estándar para análisis de datos</t>
  </si>
  <si>
    <t>KPIs críticos</t>
  </si>
  <si>
    <t>KPIs a revisar</t>
  </si>
  <si>
    <t>KPIs OK</t>
  </si>
  <si>
    <t>Total KPIs</t>
  </si>
  <si>
    <t>Área</t>
  </si>
  <si>
    <t>Indicador</t>
  </si>
  <si>
    <t>Unidad</t>
  </si>
  <si>
    <t>Criterio</t>
  </si>
  <si>
    <t>Valor actual</t>
  </si>
  <si>
    <t>Meta / referencia</t>
  </si>
  <si>
    <t>Desvío útil</t>
  </si>
  <si>
    <t>Cumplimiento</t>
  </si>
  <si>
    <t>Estado</t>
  </si>
  <si>
    <t>Notas para análisis</t>
  </si>
  <si>
    <t>Operaciones</t>
  </si>
  <si>
    <t>Producción diaria promedio</t>
  </si>
  <si>
    <t>unidades</t>
  </si>
  <si>
    <t>Mayor es mejor</t>
  </si>
  <si>
    <t>Volumen por debajo de la meta</t>
  </si>
  <si>
    <t>Incidencias abiertas</t>
  </si>
  <si>
    <t>casos</t>
  </si>
  <si>
    <t>Menor es mejor</t>
  </si>
  <si>
    <t>Subida relevante vs nivel esperado</t>
  </si>
  <si>
    <t>Tiempo medio de resolución</t>
  </si>
  <si>
    <t>horas</t>
  </si>
  <si>
    <t>Afecta capacidad de cierre</t>
  </si>
  <si>
    <t>Cumplimiento SLA</t>
  </si>
  <si>
    <t>%</t>
  </si>
  <si>
    <t>Indicador contractual</t>
  </si>
  <si>
    <t>Personas</t>
  </si>
  <si>
    <t>Horas extra del equipo</t>
  </si>
  <si>
    <t>Tomamos como referencia la semana anterior</t>
  </si>
  <si>
    <t>Ausentismo</t>
  </si>
  <si>
    <t>Impacto posible en carga operativa</t>
  </si>
  <si>
    <t>Calidad</t>
  </si>
  <si>
    <t>Retrabajos</t>
  </si>
  <si>
    <t>Se duplicó sobre la referencia</t>
  </si>
  <si>
    <t>Atención</t>
  </si>
  <si>
    <t>Backlog de tickets</t>
  </si>
  <si>
    <t>tickets</t>
  </si>
  <si>
    <t>Pendientes acumulados</t>
  </si>
  <si>
    <t>Ventas</t>
  </si>
  <si>
    <t>Leads atendidos</t>
  </si>
  <si>
    <t>leads</t>
  </si>
  <si>
    <t>Leve desviación comercial</t>
  </si>
  <si>
    <t>Finanzas</t>
  </si>
  <si>
    <t>Coste por caso</t>
  </si>
  <si>
    <t>EUR</t>
  </si>
  <si>
    <t>Coste unitario por encima del objetivo</t>
  </si>
  <si>
    <t>Fecha</t>
  </si>
  <si>
    <t>Valor</t>
  </si>
  <si>
    <t>2026-02-03</t>
  </si>
  <si>
    <t>2026-02-04</t>
  </si>
  <si>
    <t>2026-02-05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</si>
</sst>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;[Red]\(#,##0.0\)"/>
    <numFmt numFmtId="165" formatCode="0.0%"/>
    <numFmt numFmtId="166" formatCode="\€#,##0.0;[Red]\(\€#,##0.0\)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2"/>
      <name val="Calibri"/>
    </font>
    <font>
      <sz val="11"/>
      <color rgb="FF666666"/>
      <name val="Calibri"/>
    </font>
    <font>
      <sz val="11"/>
      <color rgb="FF0000FF"/>
      <name val="Calibri"/>
    </font>
    <font>
      <sz val="11"/>
      <color rgb="FF000000"/>
      <name val="Calibri"/>
    </font>
    <font>
      <b/>
      <sz val="11"/>
      <color rgb="FFC65911"/>
      <name val="Calibri"/>
    </font>
    <font>
      <b/>
      <sz val="11"/>
      <color rgb="FF9C000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AF2FF"/>
      </patternFill>
    </fill>
    <fill>
      <patternFill patternType="solid">
        <fgColor rgb="FFF7F7F7"/>
      </patternFill>
    </fill>
    <fill>
      <patternFill patternType="solid">
        <fgColor rgb="FFFCE4D6"/>
      </patternFill>
    </fill>
    <fill>
      <patternFill patternType="solid">
        <fgColor rgb="FFFDE9E7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164" fontId="5" fillId="4" borderId="3" xfId="0" applyNumberFormat="1" applyFont="1" applyFill="1" applyBorder="1" applyAlignment="1">
      <alignment vertical="center" wrapText="1"/>
    </xf>
    <xf numFmtId="164" fontId="6" fillId="5" borderId="3" xfId="0" applyNumberFormat="1" applyFont="1" applyFill="1" applyBorder="1" applyAlignment="1">
      <alignment vertical="center" wrapText="1"/>
    </xf>
    <xf numFmtId="165" fontId="6" fillId="5" borderId="3" xfId="0" applyNumberFormat="1" applyFont="1" applyFill="1" applyBorder="1" applyAlignment="1">
      <alignment vertical="center" wrapText="1"/>
    </xf>
    <xf numFmtId="165" fontId="5" fillId="4" borderId="3" xfId="0" applyNumberFormat="1" applyFont="1" applyFill="1" applyBorder="1" applyAlignment="1">
      <alignment vertical="center" wrapText="1"/>
    </xf>
    <xf numFmtId="166" fontId="5" fillId="4" borderId="3" xfId="0" applyNumberFormat="1" applyFont="1" applyFill="1" applyBorder="1" applyAlignment="1">
      <alignment vertical="center" wrapText="1"/>
    </xf>
    <xf numFmtId="166" fontId="6" fillId="5" borderId="3" xfId="0" applyNumberFormat="1" applyFont="1" applyFill="1" applyBorder="1" applyAlignment="1">
      <alignment vertical="center" wrapText="1"/>
    </xf>
    <xf numFmtId="0" fontId="2" fillId="2" borderId="0" xfId="0" applyFont="1" applyFill="1"/>
    <xf numFmtId="165" fontId="0" fillId="0" borderId="0" xfId="0" applyNumberFormat="1"/>
    <xf numFmtId="0" fontId="7" fillId="6" borderId="3" xfId="0" applyFont="1" applyFill="1" applyBorder="1" applyAlignment="1">
      <alignment vertical="center" wrapText="1"/>
    </xf>
    <xf numFmtId="0" fontId="8" fillId="7" borderId="3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693420</xdr:colOff>
      <xdr:row>33</xdr:row>
      <xdr:rowOff>45720</xdr:rowOff>
    </xdr:to>
    <xdr:sp macro="" textlink="">
      <xdr:nvSpPr>
        <xdr:cNvPr id="1036" name="Text Box 12" hidden="1">
          <a:extLst>
            <a:ext uri="{FF2B5EF4-FFF2-40B4-BE49-F238E27FC236}">
              <a16:creationId xmlns:a16="http://schemas.microsoft.com/office/drawing/2014/main" id="{273F6CC9-AF81-734C-D9B6-30BAFD1E3D8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indicadores" displayName="tbl_indicadores" ref="A4:J14">
  <autoFilter ref="A4:J14" xr:uid="{00000000-0009-0000-0100-000001000000}"/>
  <tableColumns count="10">
    <tableColumn id="1" xr3:uid="{00000000-0010-0000-0000-000001000000}" name="Área"/>
    <tableColumn id="2" xr3:uid="{00000000-0010-0000-0000-000002000000}" name="Indicador"/>
    <tableColumn id="3" xr3:uid="{00000000-0010-0000-0000-000003000000}" name="Unidad"/>
    <tableColumn id="4" xr3:uid="{00000000-0010-0000-0000-000004000000}" name="Criterio"/>
    <tableColumn id="5" xr3:uid="{00000000-0010-0000-0000-000005000000}" name="Valor actual"/>
    <tableColumn id="6" xr3:uid="{00000000-0010-0000-0000-000006000000}" name="Meta / referencia"/>
    <tableColumn id="7" xr3:uid="{00000000-0010-0000-0000-000007000000}" name="Desvío útil"/>
    <tableColumn id="8" xr3:uid="{00000000-0010-0000-0000-000008000000}" name="Cumplimiento"/>
    <tableColumn id="9" xr3:uid="{00000000-0010-0000-0000-000009000000}" name="Estado"/>
    <tableColumn id="10" xr3:uid="{00000000-0010-0000-0000-00000A000000}" name="Notas para anális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showGridLines="0" workbookViewId="0"/>
  </sheetViews>
  <sheetFormatPr baseColWidth="10" defaultColWidth="8.88671875" defaultRowHeight="14.4" x14ac:dyDescent="0.3"/>
  <cols>
    <col min="1" max="1" width="14" customWidth="1"/>
    <col min="2" max="2" width="28" customWidth="1"/>
    <col min="3" max="3" width="12" customWidth="1"/>
    <col min="4" max="4" width="18" customWidth="1"/>
    <col min="5" max="5" width="13" customWidth="1"/>
    <col min="6" max="6" width="16" customWidth="1"/>
    <col min="7" max="9" width="12" customWidth="1"/>
    <col min="10" max="10" width="32" customWidth="1"/>
  </cols>
  <sheetData>
    <row r="1" spans="1:10" ht="24" customHeight="1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">
      <c r="B2" s="1" t="s">
        <v>1</v>
      </c>
      <c r="D2" s="1" t="s">
        <v>2</v>
      </c>
      <c r="F2" s="1" t="s">
        <v>3</v>
      </c>
      <c r="H2" s="1" t="s">
        <v>4</v>
      </c>
    </row>
    <row r="3" spans="1:10" ht="15.6" x14ac:dyDescent="0.3">
      <c r="B3" s="2">
        <f>COUNTIF(I5:I14,"CRITICO")</f>
        <v>8</v>
      </c>
      <c r="D3" s="2">
        <f>COUNTIF(I5:I14,"REVISAR")</f>
        <v>2</v>
      </c>
      <c r="F3" s="2">
        <f>COUNTIF(I5:I14,"OK")</f>
        <v>0</v>
      </c>
      <c r="H3" s="2">
        <f>COUNTA(B5:B14)</f>
        <v>10</v>
      </c>
    </row>
    <row r="4" spans="1:10" ht="28.8" x14ac:dyDescent="0.3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</row>
    <row r="5" spans="1:10" ht="24" customHeight="1" x14ac:dyDescent="0.3">
      <c r="A5" s="4" t="s">
        <v>15</v>
      </c>
      <c r="B5" s="4" t="s">
        <v>16</v>
      </c>
      <c r="C5" s="4" t="s">
        <v>17</v>
      </c>
      <c r="D5" s="4" t="s">
        <v>18</v>
      </c>
      <c r="E5" s="5">
        <v>82</v>
      </c>
      <c r="F5" s="5">
        <v>95</v>
      </c>
      <c r="G5" s="6">
        <f t="shared" ref="G5:G14" si="0">IF(D5="Mayor es mejor",E5-F5,F5-E5)</f>
        <v>-13</v>
      </c>
      <c r="H5" s="7">
        <f t="shared" ref="H5:H14" si="1">IF(F5=0,"",IF(D5="Mayor es mejor",E5/F5,F5/E5))</f>
        <v>0.86315789473684212</v>
      </c>
      <c r="I5" s="13" t="str">
        <f t="shared" ref="I5:I14" si="2">IF(H5="","PENDIENTE",IF(H5&gt;=1,"OK",IF(H5&gt;=0.9,"REVISAR","CRITICO")))</f>
        <v>CRITICO</v>
      </c>
      <c r="J5" s="4" t="s">
        <v>19</v>
      </c>
    </row>
    <row r="6" spans="1:10" ht="24" customHeight="1" x14ac:dyDescent="0.3">
      <c r="A6" s="4" t="s">
        <v>15</v>
      </c>
      <c r="B6" s="4" t="s">
        <v>20</v>
      </c>
      <c r="C6" s="4" t="s">
        <v>21</v>
      </c>
      <c r="D6" s="4" t="s">
        <v>22</v>
      </c>
      <c r="E6" s="5">
        <v>14</v>
      </c>
      <c r="F6" s="5">
        <v>8</v>
      </c>
      <c r="G6" s="6">
        <f t="shared" si="0"/>
        <v>-6</v>
      </c>
      <c r="H6" s="7">
        <f t="shared" si="1"/>
        <v>0.5714285714285714</v>
      </c>
      <c r="I6" s="14" t="str">
        <f t="shared" si="2"/>
        <v>CRITICO</v>
      </c>
      <c r="J6" s="4" t="s">
        <v>23</v>
      </c>
    </row>
    <row r="7" spans="1:10" ht="24" customHeight="1" x14ac:dyDescent="0.3">
      <c r="A7" s="4" t="s">
        <v>15</v>
      </c>
      <c r="B7" s="4" t="s">
        <v>24</v>
      </c>
      <c r="C7" s="4" t="s">
        <v>25</v>
      </c>
      <c r="D7" s="4" t="s">
        <v>22</v>
      </c>
      <c r="E7" s="5">
        <v>19</v>
      </c>
      <c r="F7" s="5">
        <v>12</v>
      </c>
      <c r="G7" s="6">
        <f t="shared" si="0"/>
        <v>-7</v>
      </c>
      <c r="H7" s="7">
        <f t="shared" si="1"/>
        <v>0.63157894736842102</v>
      </c>
      <c r="I7" s="14" t="str">
        <f t="shared" si="2"/>
        <v>CRITICO</v>
      </c>
      <c r="J7" s="4" t="s">
        <v>26</v>
      </c>
    </row>
    <row r="8" spans="1:10" ht="24" customHeight="1" x14ac:dyDescent="0.3">
      <c r="A8" s="4" t="s">
        <v>15</v>
      </c>
      <c r="B8" s="4" t="s">
        <v>27</v>
      </c>
      <c r="C8" s="4" t="s">
        <v>28</v>
      </c>
      <c r="D8" s="4" t="s">
        <v>18</v>
      </c>
      <c r="E8" s="8">
        <v>0.88</v>
      </c>
      <c r="F8" s="8">
        <v>0.95</v>
      </c>
      <c r="G8" s="7">
        <f t="shared" si="0"/>
        <v>-6.9999999999999951E-2</v>
      </c>
      <c r="H8" s="7">
        <f t="shared" si="1"/>
        <v>0.9263157894736842</v>
      </c>
      <c r="I8" s="13" t="str">
        <f t="shared" si="2"/>
        <v>REVISAR</v>
      </c>
      <c r="J8" s="4" t="s">
        <v>29</v>
      </c>
    </row>
    <row r="9" spans="1:10" ht="24" customHeight="1" x14ac:dyDescent="0.3">
      <c r="A9" s="4" t="s">
        <v>30</v>
      </c>
      <c r="B9" s="4" t="s">
        <v>31</v>
      </c>
      <c r="C9" s="4" t="s">
        <v>25</v>
      </c>
      <c r="D9" s="4" t="s">
        <v>22</v>
      </c>
      <c r="E9" s="5">
        <v>26</v>
      </c>
      <c r="F9" s="5">
        <v>11</v>
      </c>
      <c r="G9" s="6">
        <f t="shared" si="0"/>
        <v>-15</v>
      </c>
      <c r="H9" s="7">
        <f t="shared" si="1"/>
        <v>0.42307692307692307</v>
      </c>
      <c r="I9" s="14" t="str">
        <f t="shared" si="2"/>
        <v>CRITICO</v>
      </c>
      <c r="J9" s="4" t="s">
        <v>32</v>
      </c>
    </row>
    <row r="10" spans="1:10" ht="24" customHeight="1" x14ac:dyDescent="0.3">
      <c r="A10" s="4" t="s">
        <v>30</v>
      </c>
      <c r="B10" s="4" t="s">
        <v>33</v>
      </c>
      <c r="C10" s="4" t="s">
        <v>28</v>
      </c>
      <c r="D10" s="4" t="s">
        <v>22</v>
      </c>
      <c r="E10" s="8">
        <v>7.0000000000000007E-2</v>
      </c>
      <c r="F10" s="8">
        <v>0.03</v>
      </c>
      <c r="G10" s="7">
        <f t="shared" si="0"/>
        <v>-4.0000000000000008E-2</v>
      </c>
      <c r="H10" s="7">
        <f t="shared" si="1"/>
        <v>0.42857142857142849</v>
      </c>
      <c r="I10" s="14" t="str">
        <f t="shared" si="2"/>
        <v>CRITICO</v>
      </c>
      <c r="J10" s="4" t="s">
        <v>34</v>
      </c>
    </row>
    <row r="11" spans="1:10" ht="24" customHeight="1" x14ac:dyDescent="0.3">
      <c r="A11" s="4" t="s">
        <v>35</v>
      </c>
      <c r="B11" s="4" t="s">
        <v>36</v>
      </c>
      <c r="C11" s="4" t="s">
        <v>28</v>
      </c>
      <c r="D11" s="4" t="s">
        <v>22</v>
      </c>
      <c r="E11" s="8">
        <v>0.11</v>
      </c>
      <c r="F11" s="8">
        <v>0.05</v>
      </c>
      <c r="G11" s="7">
        <f t="shared" si="0"/>
        <v>-0.06</v>
      </c>
      <c r="H11" s="7">
        <f t="shared" si="1"/>
        <v>0.45454545454545459</v>
      </c>
      <c r="I11" s="14" t="str">
        <f t="shared" si="2"/>
        <v>CRITICO</v>
      </c>
      <c r="J11" s="4" t="s">
        <v>37</v>
      </c>
    </row>
    <row r="12" spans="1:10" ht="24" customHeight="1" x14ac:dyDescent="0.3">
      <c r="A12" s="4" t="s">
        <v>38</v>
      </c>
      <c r="B12" s="4" t="s">
        <v>39</v>
      </c>
      <c r="C12" s="4" t="s">
        <v>40</v>
      </c>
      <c r="D12" s="4" t="s">
        <v>22</v>
      </c>
      <c r="E12" s="5">
        <v>123</v>
      </c>
      <c r="F12" s="5">
        <v>80</v>
      </c>
      <c r="G12" s="6">
        <f t="shared" si="0"/>
        <v>-43</v>
      </c>
      <c r="H12" s="7">
        <f t="shared" si="1"/>
        <v>0.65040650406504064</v>
      </c>
      <c r="I12" s="14" t="str">
        <f t="shared" si="2"/>
        <v>CRITICO</v>
      </c>
      <c r="J12" s="4" t="s">
        <v>41</v>
      </c>
    </row>
    <row r="13" spans="1:10" ht="24" customHeight="1" x14ac:dyDescent="0.3">
      <c r="A13" s="4" t="s">
        <v>42</v>
      </c>
      <c r="B13" s="4" t="s">
        <v>43</v>
      </c>
      <c r="C13" s="4" t="s">
        <v>44</v>
      </c>
      <c r="D13" s="4" t="s">
        <v>18</v>
      </c>
      <c r="E13" s="5">
        <v>148</v>
      </c>
      <c r="F13" s="5">
        <v>160</v>
      </c>
      <c r="G13" s="6">
        <f t="shared" si="0"/>
        <v>-12</v>
      </c>
      <c r="H13" s="7">
        <f t="shared" si="1"/>
        <v>0.92500000000000004</v>
      </c>
      <c r="I13" s="13" t="str">
        <f t="shared" si="2"/>
        <v>REVISAR</v>
      </c>
      <c r="J13" s="4" t="s">
        <v>45</v>
      </c>
    </row>
    <row r="14" spans="1:10" ht="24" customHeight="1" x14ac:dyDescent="0.3">
      <c r="A14" s="4" t="s">
        <v>46</v>
      </c>
      <c r="B14" s="4" t="s">
        <v>47</v>
      </c>
      <c r="C14" s="4" t="s">
        <v>48</v>
      </c>
      <c r="D14" s="4" t="s">
        <v>22</v>
      </c>
      <c r="E14" s="9">
        <v>18.399999999999999</v>
      </c>
      <c r="F14" s="9">
        <v>15</v>
      </c>
      <c r="G14" s="10">
        <f t="shared" si="0"/>
        <v>-3.3999999999999986</v>
      </c>
      <c r="H14" s="7">
        <f t="shared" si="1"/>
        <v>0.81521739130434789</v>
      </c>
      <c r="I14" s="14" t="str">
        <f t="shared" si="2"/>
        <v>CRITICO</v>
      </c>
      <c r="J14" s="4" t="s">
        <v>49</v>
      </c>
    </row>
  </sheetData>
  <mergeCells count="1">
    <mergeCell ref="A1:J1"/>
  </mergeCells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showGridLines="0" tabSelected="1" workbookViewId="0">
      <selection activeCell="F23" sqref="F23"/>
    </sheetView>
  </sheetViews>
  <sheetFormatPr baseColWidth="10" defaultColWidth="8.88671875" defaultRowHeight="14.4" x14ac:dyDescent="0.3"/>
  <cols>
    <col min="1" max="1" width="14" customWidth="1"/>
    <col min="2" max="2" width="16" customWidth="1"/>
    <col min="3" max="3" width="28" customWidth="1"/>
    <col min="4" max="4" width="12" customWidth="1"/>
  </cols>
  <sheetData>
    <row r="1" spans="1:4" x14ac:dyDescent="0.3">
      <c r="A1" s="11" t="s">
        <v>50</v>
      </c>
      <c r="B1" s="11" t="s">
        <v>5</v>
      </c>
      <c r="C1" s="11" t="s">
        <v>6</v>
      </c>
      <c r="D1" s="11" t="s">
        <v>51</v>
      </c>
    </row>
    <row r="2" spans="1:4" x14ac:dyDescent="0.3">
      <c r="A2" t="s">
        <v>52</v>
      </c>
      <c r="B2" t="s">
        <v>15</v>
      </c>
      <c r="C2" t="s">
        <v>16</v>
      </c>
      <c r="D2">
        <v>80</v>
      </c>
    </row>
    <row r="3" spans="1:4" x14ac:dyDescent="0.3">
      <c r="A3" t="s">
        <v>53</v>
      </c>
      <c r="B3" t="s">
        <v>15</v>
      </c>
      <c r="C3" t="s">
        <v>16</v>
      </c>
      <c r="D3">
        <v>84</v>
      </c>
    </row>
    <row r="4" spans="1:4" x14ac:dyDescent="0.3">
      <c r="A4" t="s">
        <v>54</v>
      </c>
      <c r="B4" t="s">
        <v>15</v>
      </c>
      <c r="C4" t="s">
        <v>16</v>
      </c>
      <c r="D4">
        <v>82</v>
      </c>
    </row>
    <row r="5" spans="1:4" x14ac:dyDescent="0.3">
      <c r="A5" t="s">
        <v>52</v>
      </c>
      <c r="B5" t="s">
        <v>15</v>
      </c>
      <c r="C5" t="s">
        <v>20</v>
      </c>
      <c r="D5">
        <v>12</v>
      </c>
    </row>
    <row r="6" spans="1:4" x14ac:dyDescent="0.3">
      <c r="A6" t="s">
        <v>53</v>
      </c>
      <c r="B6" t="s">
        <v>15</v>
      </c>
      <c r="C6" t="s">
        <v>20</v>
      </c>
      <c r="D6">
        <v>13</v>
      </c>
    </row>
    <row r="7" spans="1:4" x14ac:dyDescent="0.3">
      <c r="A7" t="s">
        <v>54</v>
      </c>
      <c r="B7" t="s">
        <v>15</v>
      </c>
      <c r="C7" t="s">
        <v>20</v>
      </c>
      <c r="D7">
        <v>14</v>
      </c>
    </row>
    <row r="8" spans="1:4" x14ac:dyDescent="0.3">
      <c r="A8" t="s">
        <v>52</v>
      </c>
      <c r="B8" t="s">
        <v>30</v>
      </c>
      <c r="C8" t="s">
        <v>33</v>
      </c>
      <c r="D8" s="12">
        <v>0.06</v>
      </c>
    </row>
    <row r="9" spans="1:4" x14ac:dyDescent="0.3">
      <c r="A9" t="s">
        <v>53</v>
      </c>
      <c r="B9" t="s">
        <v>30</v>
      </c>
      <c r="C9" t="s">
        <v>33</v>
      </c>
      <c r="D9" s="12">
        <v>0.08</v>
      </c>
    </row>
    <row r="10" spans="1:4" x14ac:dyDescent="0.3">
      <c r="A10" t="s">
        <v>54</v>
      </c>
      <c r="B10" t="s">
        <v>30</v>
      </c>
      <c r="C10" t="s">
        <v>33</v>
      </c>
      <c r="D10" s="12">
        <v>7.0000000000000007E-2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acb5d12-1d8f-4d93-9a80-c6221259aedb}" enabled="1" method="Privileged" siteId="{a2927dc6-fd53-4ed2-94f0-7772c3efd74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Indicadores</vt:lpstr>
      <vt:lpstr>Detalle semanal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Yehimy Lulieth Rincón</cp:lastModifiedBy>
  <dcterms:modified xsi:type="dcterms:W3CDTF">2026-03-16T20:33:34Z</dcterms:modified>
</cp:coreProperties>
</file>