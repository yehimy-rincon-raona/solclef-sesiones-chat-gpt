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8184af649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195f6a2e06a4013"/>
    <x:sheet xmlns:r="http://schemas.openxmlformats.org/officeDocument/2006/relationships" name="Hallazgos" sheetId="2" r:id="R05d3a250142d4b15"/>
    <x:sheet xmlns:r="http://schemas.openxmlformats.org/officeDocument/2006/relationships" name="Plan_accion" sheetId="3" r:id="Rbb2651cf00604afd"/>
    <x:sheet xmlns:r="http://schemas.openxmlformats.org/officeDocument/2006/relationships" name="Referencias" sheetId="4" r:id="R2d8ffe60a8ca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6"/>
      <x:color rgb="00FFFFFF"/>
      <x:name val="Aptos"/>
    </x:font>
    <x:font>
      <x:sz val="10"/>
      <x:color rgb="001F2430"/>
      <x:name val="Aptos"/>
    </x:font>
    <x:font>
      <x:b/>
      <x:sz val="10"/>
      <x:color rgb="00FFFFFF"/>
      <x:name val="Aptos"/>
    </x:font>
    <x:font>
      <x:b/>
      <x:sz val="18"/>
      <x:color rgb="00FFFFFF"/>
      <x:name val="Aptos"/>
    </x:font>
    <x:font>
      <x:b/>
      <x:sz val="10"/>
      <x:color rgb="001F2430"/>
      <x:name val="Aptos"/>
    </x:font>
    <x:font>
      <x:b/>
      <x:sz val="18"/>
      <x:color rgb="001F2430"/>
      <x:name val="Aptos"/>
    </x:font>
    <x:font>
      <x:b/>
      <x:sz val="11"/>
      <x:color rgb="001F2430"/>
      <x:name val="Aptos"/>
    </x:font>
    <x:font>
      <x:b/>
      <x:sz val="14"/>
      <x:color rgb="00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00A80F3B"/>
      </x:patternFill>
    </x:fill>
    <x:fill>
      <x:patternFill patternType="solid">
        <x:fgColor rgb="00F7F6F5"/>
      </x:patternFill>
    </x:fill>
    <x:fill>
      <x:patternFill patternType="solid">
        <x:fgColor rgb="006A2C91"/>
      </x:patternFill>
    </x:fill>
    <x:fill>
      <x:patternFill patternType="solid">
        <x:fgColor rgb="00F2B544"/>
      </x:patternFill>
    </x:fill>
    <x:fill>
      <x:patternFill patternType="solid">
        <x:fgColor rgb="00ECF9F1"/>
      </x:patternFill>
    </x:fill>
    <x:fill>
      <x:patternFill patternType="solid">
        <x:fgColor rgb="00FFFFFF"/>
      </x:patternFill>
    </x:fill>
    <x:fill>
      <x:patternFill patternType="solid">
        <x:fgColor rgb="00FFF6E0"/>
      </x:patternFill>
    </x:fill>
    <x:fill>
      <x:patternFill patternType="solid">
        <x:fgColor rgb="00FDECEC"/>
      </x:patternFill>
    </x:fill>
  </x:fills>
  <x:borders count="2">
    <x:border>
      <x:left/>
      <x:right/>
      <x:top/>
      <x:bottom/>
      <x:diagonal/>
    </x:border>
    <x:border>
      <x:left style="thin">
        <x:color rgb="00E6E1DD"/>
      </x:left>
      <x:right style="thin">
        <x:color rgb="00E6E1DD"/>
      </x:right>
      <x:top style="thin">
        <x:color rgb="00E6E1DD"/>
      </x:top>
      <x:bottom style="thin">
        <x:color rgb="00E6E1DD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1" xfId="0" applyAlignment="1">
      <x:alignment horizontal="left" vertical="center" wrapText="1"/>
    </x:xf>
    <x:xf numFmtId="0" fontId="2" fillId="3" borderId="1" xfId="0" applyAlignment="1">
      <x:alignment horizontal="left" vertical="center" wrapText="1"/>
    </x:xf>
    <x:xf numFmtId="0" fontId="3" fillId="2" borderId="1" xfId="0" applyAlignment="1">
      <x:alignment horizontal="center" vertical="center" wrapText="1"/>
    </x:xf>
    <x:xf numFmtId="0" fontId="0" fillId="2" borderId="1" xfId="0" applyAlignment="1">
      <x:alignment horizontal="center" vertical="center" wrapText="1"/>
    </x:xf>
    <x:xf numFmtId="0" fontId="3" fillId="4" borderId="1" xfId="0" applyAlignment="1">
      <x:alignment horizontal="center" vertical="center" wrapText="1"/>
    </x:xf>
    <x:xf numFmtId="0" fontId="0" fillId="4" borderId="1" xfId="0" applyAlignment="1">
      <x:alignment horizontal="center" vertical="center" wrapText="1"/>
    </x:xf>
    <x:xf numFmtId="0" fontId="5" fillId="5" borderId="1" xfId="0" applyAlignment="1">
      <x:alignment horizontal="center" vertical="center" wrapText="1"/>
    </x:xf>
    <x:xf numFmtId="0" fontId="0" fillId="5" borderId="1" xfId="0" applyAlignment="1">
      <x:alignment horizontal="center" vertical="center" wrapText="1"/>
    </x:xf>
    <x:xf numFmtId="0" fontId="5" fillId="6" borderId="1" xfId="0" applyAlignment="1">
      <x:alignment horizontal="center" vertical="center" wrapText="1"/>
    </x:xf>
    <x:xf numFmtId="0" fontId="0" fillId="6" borderId="1" xfId="0" applyAlignment="1">
      <x:alignment horizontal="center" vertical="center" wrapText="1"/>
    </x:xf>
    <x:xf numFmtId="0" fontId="4" fillId="2" borderId="1" xfId="0" applyAlignment="1">
      <x:alignment horizontal="center" vertical="center" wrapText="1"/>
    </x:xf>
    <x:xf numFmtId="0" fontId="4" fillId="4" borderId="1" xfId="0" applyAlignment="1">
      <x:alignment horizontal="center" vertical="center" wrapText="1"/>
    </x:xf>
    <x:xf numFmtId="0" fontId="6" fillId="5" borderId="1" xfId="0" applyAlignment="1">
      <x:alignment horizontal="center" vertical="center" wrapText="1"/>
    </x:xf>
    <x:xf numFmtId="0" fontId="6" fillId="6" borderId="1" xfId="0" applyAlignment="1">
      <x:alignment horizontal="center" vertical="center" wrapText="1"/>
    </x:xf>
    <x:xf numFmtId="0" fontId="7" fillId="3" borderId="1" xfId="0" applyAlignment="1">
      <x:alignment horizontal="left" vertical="center" wrapText="1"/>
    </x:xf>
    <x:xf numFmtId="0" fontId="2" fillId="7" borderId="1" xfId="0" applyAlignment="1">
      <x:alignment horizontal="left" vertical="center" wrapText="1"/>
    </x:xf>
    <x:xf numFmtId="0" fontId="2" fillId="6" borderId="1" xfId="0" applyAlignment="1">
      <x:alignment vertical="top" wrapText="1"/>
    </x:xf>
    <x:xf numFmtId="0" fontId="2" fillId="6" borderId="1" xfId="0" applyAlignment="1">
      <x:alignment horizontal="center" vertical="top" wrapText="1"/>
    </x:xf>
    <x:xf numFmtId="0" fontId="2" fillId="7" borderId="1" xfId="0" applyAlignment="1">
      <x:alignment vertical="top" wrapText="1"/>
    </x:xf>
    <x:xf numFmtId="0" fontId="2" fillId="7" borderId="1" xfId="0" applyAlignment="1">
      <x:alignment horizontal="center" vertical="top" wrapText="1"/>
    </x:xf>
    <x:xf numFmtId="0" fontId="2" fillId="8" borderId="1" xfId="0" applyAlignment="1">
      <x:alignment vertical="top" wrapText="1"/>
    </x:xf>
    <x:xf numFmtId="0" fontId="2" fillId="8" borderId="1" xfId="0" applyAlignment="1">
      <x:alignment horizontal="center" vertical="top" wrapText="1"/>
    </x:xf>
    <x:xf numFmtId="0" fontId="2" fillId="9" borderId="1" xfId="0" applyAlignment="1">
      <x:alignment vertical="top" wrapText="1"/>
    </x:xf>
    <x:xf numFmtId="0" fontId="2" fillId="9" borderId="1" xfId="0" applyAlignment="1">
      <x:alignment horizontal="center" vertical="top" wrapText="1"/>
    </x:xf>
    <x:xf numFmtId="0" fontId="2" fillId="0" borderId="1" xfId="0" applyAlignment="1">
      <x:alignment vertical="top" wrapText="1"/>
    </x:xf>
    <x:xf numFmtId="0" fontId="8" fillId="2" borderId="1" xfId="0" applyAlignment="1">
      <x:alignment horizontal="left" vertical="center"/>
    </x:xf>
    <x:xf numFmtId="0" fontId="5" fillId="3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6f76d7b264d13" /><Relationship Type="http://schemas.openxmlformats.org/officeDocument/2006/relationships/theme" Target="/xl/theme/theme1.xml" Id="R9681346fb22343db" /><Relationship Type="http://schemas.openxmlformats.org/officeDocument/2006/relationships/sharedStrings" Target="/xl/sharedStrings.xml" Id="Rcef954fc192348fb" /><Relationship Type="http://schemas.openxmlformats.org/officeDocument/2006/relationships/worksheet" Target="/xl/worksheets/sheet1.xml" Id="R8195f6a2e06a4013" /><Relationship Type="http://schemas.openxmlformats.org/officeDocument/2006/relationships/worksheet" Target="/xl/worksheets/sheet2.xml" Id="R05d3a250142d4b15" /><Relationship Type="http://schemas.openxmlformats.org/officeDocument/2006/relationships/worksheet" Target="/xl/worksheets/sheet3.xml" Id="Rbb2651cf00604afd" /><Relationship Type="http://schemas.openxmlformats.org/officeDocument/2006/relationships/worksheet" Target="/xl/worksheets/sheet4.xml" Id="R2d8ffe60a8ca45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56bc83fc0474a9d" /><Relationship Type="http://schemas.openxmlformats.org/officeDocument/2006/relationships/image" Target="/xl/media/image2.png" Id="Rcfa0311cb13e4415" /></Relationships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</xdr:row>
      <xdr:rowOff>0</xdr:rowOff>
    </xdr:from>
    <xdr:ext cx="2095500" cy="11430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6bc83fc0474a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</xdr:row>
      <xdr:rowOff>0</xdr:rowOff>
    </xdr:from>
    <xdr:ext cx="2095500" cy="12192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a0311cb13e44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ablaHallazgos" displayName="TablaHallazgos" ref="A1:O15" headerRowCount="1">
  <x:autoFilter ref="A1:O15"/>
  <x:tableColumns count="15">
    <x:tableColumn id="1" name="ID"/>
    <x:tableColumn id="2" name="Referencia"/>
    <x:tableColumn id="3" name="Categoría"/>
    <x:tableColumn id="4" name="Tipo"/>
    <x:tableColumn id="5" name="Pantalla/flujo"/>
    <x:tableColumn id="6" name="Hallazgo"/>
    <x:tableColumn id="7" name="Impacto UX"/>
    <x:tableColumn id="8" name="Severidad (1-5)"/>
    <x:tableColumn id="9" name="Impacto negocio (1-5)"/>
    <x:tableColumn id="10" name="Esfuerzo (1-5)"/>
    <x:tableColumn id="11" name="Puntaje"/>
    <x:tableColumn id="12" name="Prioridad"/>
    <x:tableColumn id="13" name="Recomendación"/>
    <x:tableColumn id="14" name="Quick win"/>
    <x:tableColumn id="15" name="Fuente"/>
  </x:tableColumns>
  <x:tableStyleInfo name="TableStyleMedium2" showRowStripes="1"/>
</x:table>
</file>

<file path=xl/tables/table2.xml><?xml version="1.0" encoding="utf-8"?>
<x:table xmlns:x="http://schemas.openxmlformats.org/spreadsheetml/2006/main" id="2" name="TablaPlan" displayName="TablaPlan" ref="A1:H7" headerRowCount="1">
  <x:autoFilter ref="A1:H7"/>
  <x:tableColumns count="8">
    <x:tableColumn id="1" name="Orden"/>
    <x:tableColumn id="2" name="ID hallazgo"/>
    <x:tableColumn id="3" name="Tema"/>
    <x:tableColumn id="4" name="Prioridad esperada"/>
    <x:tableColumn id="5" name="Acción sugerida"/>
    <x:tableColumn id="6" name="Owner sugerido"/>
    <x:tableColumn id="7" name="Sprint"/>
    <x:tableColumn id="8" name="Dependencia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6c8929e1f447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35543f6b7540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803aca4dde44c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</x:cols>
  <x:sheetData>
    <x:row r="1" ht="26" customHeight="1">
      <x:c r="A1" s="1" t="inlineStr">
        <x:is>
          <x:t xml:space="preserve">Hallazgos UX/UI · Resumen ejecutivo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2" t="inlineStr">
        <x:is>
          <x:t xml:space="preserve">Caso</x:t>
        </x:is>
      </x:c>
      <x:c r="B2" s="2" t="inlineStr">
        <x:is>
          <x:t xml:space="preserve">Demo CU6</x:t>
        </x:is>
      </x:c>
      <x:c r="C2" s="2" t="inlineStr">
        <x:is>
          <x:t xml:space="preserve">Fuentes</x:t>
        </x:is>
      </x:c>
      <x:c r="D2" s="2" t="inlineStr">
        <x:is>
          <x:t xml:space="preserve">CU6_img-ej.webp / CU6_img-ej2.webp</x:t>
        </x:is>
      </x:c>
      <x:c r="E2" s="2" t="inlineStr">
        <x:is>
          <x:t xml:space="preserve">Fecha</x:t>
        </x:is>
      </x:c>
      <x:c r="F2" s="2" t="inlineStr">
        <x:is>
          <x:t xml:space="preserve">2026-03-24</x:t>
        </x:is>
      </x:c>
      <x:c r="G2" s="2" t="inlineStr">
        <x:is>
          <x:t xml:space="preserve">Uso</x:t>
        </x:is>
      </x:c>
      <x:c r="H2" s="2" t="inlineStr">
        <x:is>
          <x:t xml:space="preserve">Archivo de apoyo para análisis con ChatGPT</x:t>
        </x:is>
      </x:c>
    </x:row>
    <x:row r="4" ht="24" customHeight="1">
      <x:c r="A4" s="3" t="inlineStr">
        <x:is>
          <x:t xml:space="preserve">Total hallazgos</x:t>
        </x:is>
      </x:c>
      <x:c r="B4" s="4" t="n"/>
      <x:c r="C4" s="5" t="inlineStr">
        <x:is>
          <x:t xml:space="preserve">Prioridad alta</x:t>
        </x:is>
      </x:c>
      <x:c r="D4" s="6" t="n"/>
      <x:c r="E4" s="7" t="inlineStr">
        <x:is>
          <x:t xml:space="preserve">Quick wins</x:t>
        </x:is>
      </x:c>
      <x:c r="F4" s="8" t="n"/>
      <x:c r="G4" s="9" t="inlineStr">
        <x:is>
          <x:t xml:space="preserve">Fortalezas</x:t>
        </x:is>
      </x:c>
      <x:c r="H4" s="10" t="n"/>
    </x:row>
    <x:row r="5" ht="30" customHeight="1">
      <x:c r="A5" s="11">
        <x:f>COUNTA(Hallazgos!A2:A200)</x:f>
        <x:v>14</x:v>
      </x:c>
      <x:c r="B5" s="4" t="n"/>
      <x:c r="C5" s="12">
        <x:f>COUNTIF(Hallazgos!L2:L200,"Alta")</x:f>
        <x:v>7</x:v>
      </x:c>
      <x:c r="D5" s="6" t="n"/>
      <x:c r="E5" s="13">
        <x:f>COUNTIF(Hallazgos!N2:N200,"Sí")</x:f>
        <x:v>14</x:v>
      </x:c>
      <x:c r="F5" s="8" t="n"/>
      <x:c r="G5" s="14">
        <x:f>COUNTIF(Hallazgos!D2:D200,"Fortaleza")</x:f>
        <x:v>6</x:v>
      </x:c>
      <x:c r="H5" s="10" t="n"/>
    </x:row>
    <x:row r="6" ht="30" customHeight="1">
      <x:c r="A6" s="4" t="n"/>
      <x:c r="B6" s="4" t="n"/>
      <x:c r="C6" s="6" t="n"/>
      <x:c r="D6" s="6" t="n"/>
      <x:c r="E6" s="8" t="n"/>
      <x:c r="F6" s="8" t="n"/>
      <x:c r="G6" s="10" t="n"/>
      <x:c r="H6" s="10" t="n"/>
    </x:row>
    <x:row r="8">
      <x:c r="A8" s="15" t="inlineStr">
        <x:is>
          <x:t xml:space="preserve">Distribución por categoría</x:t>
        </x:is>
      </x:c>
      <x:c r="B8" s="15" t="n"/>
      <x:c r="C8" s="15" t="n"/>
      <x:c r="D8" s="15" t="n"/>
      <x:c r="E8" s="15" t="inlineStr">
        <x:is>
          <x:t xml:space="preserve">Distribución por referencia</x:t>
        </x:is>
      </x:c>
      <x:c r="F8" s="15" t="n"/>
      <x:c r="G8" s="15" t="n"/>
      <x:c r="H8" s="15" t="n"/>
    </x:row>
    <x:row r="9">
      <x:c r="A9" s="16" t="inlineStr">
        <x:is>
          <x:t xml:space="preserve">Jerarquía visual</x:t>
        </x:is>
      </x:c>
      <x:c r="B9" s="16">
        <x:f>COUNTIF(Hallazgos!C2:C200,A9)</x:f>
        <x:v>3</x:v>
      </x:c>
      <x:c r="C9" s="16" t="inlineStr">
        <x:is>
          <x:t xml:space="preserve">Meta</x:t>
        </x:is>
      </x:c>
      <x:c r="D9" s="16" t="inlineStr">
        <x:is>
          <x:t xml:space="preserve">0</x:t>
        </x:is>
      </x:c>
      <x:c r="E9" s="16" t="inlineStr">
        <x:is>
          <x:t xml:space="preserve">Referencia 1</x:t>
        </x:is>
      </x:c>
      <x:c r="F9" s="16">
        <x:f>COUNTIF(Hallazgos!B2:B200,E9)</x:f>
        <x:v>6</x:v>
      </x:c>
      <x:c r="G9" s="16" t="inlineStr">
        <x:is>
          <x:t xml:space="preserve">Altas</x:t>
        </x:is>
      </x:c>
      <x:c r="H9" s="16">
        <x:f>COUNTIFS(Hallazgos!B2:B200,E9,Hallazgos!L2:L200,"Alta")</x:f>
        <x:v>3</x:v>
      </x:c>
    </x:row>
    <x:row r="10">
      <x:c r="A10" s="16" t="inlineStr">
        <x:is>
          <x:t xml:space="preserve">Contenido y copy</x:t>
        </x:is>
      </x:c>
      <x:c r="B10" s="16">
        <x:f>COUNTIF(Hallazgos!C2:C200,A10)</x:f>
        <x:v>3</x:v>
      </x:c>
      <x:c r="C10" s="16" t="inlineStr">
        <x:is>
          <x:t xml:space="preserve">Meta</x:t>
        </x:is>
      </x:c>
      <x:c r="D10" s="16" t="inlineStr">
        <x:is>
          <x:t xml:space="preserve">0</x:t>
        </x:is>
      </x:c>
      <x:c r="E10" s="16" t="inlineStr">
        <x:is>
          <x:t xml:space="preserve">Referencia 2</x:t>
        </x:is>
      </x:c>
      <x:c r="F10" s="16">
        <x:f>COUNTIF(Hallazgos!B2:B200,E10)</x:f>
        <x:v>8</x:v>
      </x:c>
      <x:c r="G10" s="16" t="inlineStr">
        <x:is>
          <x:t xml:space="preserve">Altas</x:t>
        </x:is>
      </x:c>
      <x:c r="H10" s="16">
        <x:f>COUNTIFS(Hallazgos!B2:B200,E10,Hallazgos!L2:L200,"Alta")</x:f>
        <x:v>4</x:v>
      </x:c>
    </x:row>
    <x:row r="11">
      <x:c r="A11" s="16" t="inlineStr">
        <x:is>
          <x:t xml:space="preserve">Flujo y navegación</x:t>
        </x:is>
      </x:c>
      <x:c r="B11" s="16">
        <x:f>COUNTIF(Hallazgos!C2:C200,A11)</x:f>
        <x:v>4</x:v>
      </x:c>
      <x:c r="C11" s="16" t="inlineStr">
        <x:is>
          <x:t xml:space="preserve">Meta</x:t>
        </x:is>
      </x:c>
      <x:c r="D11" s="16" t="inlineStr">
        <x:is>
          <x:t xml:space="preserve">0</x:t>
        </x:is>
      </x:c>
    </x:row>
    <x:row r="12">
      <x:c r="A12" s="16" t="inlineStr">
        <x:is>
          <x:t xml:space="preserve">Accesibilidad</x:t>
        </x:is>
      </x:c>
      <x:c r="B12" s="16">
        <x:f>COUNTIF(Hallazgos!C2:C200,A12)</x:f>
        <x:v>2</x:v>
      </x:c>
      <x:c r="C12" s="16" t="inlineStr">
        <x:is>
          <x:t xml:space="preserve">Meta</x:t>
        </x:is>
      </x:c>
      <x:c r="D12" s="16" t="inlineStr">
        <x:is>
          <x:t xml:space="preserve">0</x:t>
        </x:is>
      </x:c>
    </x:row>
    <x:row r="13">
      <x:c r="A13" s="16" t="inlineStr">
        <x:is>
          <x:t xml:space="preserve">Conversión y CTA</x:t>
        </x:is>
      </x:c>
      <x:c r="B13" s="16">
        <x:f>COUNTIF(Hallazgos!C2:C200,A13)</x:f>
        <x:v>2</x:v>
      </x:c>
      <x:c r="C13" s="16" t="inlineStr">
        <x:is>
          <x:t xml:space="preserve">Meta</x:t>
        </x:is>
      </x:c>
      <x:c r="D13" s="16" t="inlineStr">
        <x:is>
          <x:t xml:space="preserve">0</x:t>
        </x:is>
      </x:c>
    </x:row>
    <x:row r="15">
      <x:c r="A15" s="15" t="inlineStr">
        <x:is>
          <x:t xml:space="preserve">Top 5 acciones sugeridas</x:t>
        </x:is>
      </x:c>
      <x:c r="B15" s="15" t="n"/>
      <x:c r="C15" s="15" t="n"/>
      <x:c r="D15" s="15" t="n"/>
      <x:c r="E15" s="15" t="n"/>
      <x:c r="F15" s="15" t="n"/>
      <x:c r="G15" s="15" t="n"/>
      <x:c r="H15" s="15" t="n"/>
    </x:row>
    <x:row r="16" ht="28" customHeight="1">
      <x:c r="A16" s="16" t="inlineStr">
        <x:is>
          <x:t xml:space="preserve">1. Reducir fricción del registro inicial y diferir campos no críticos.</x:t>
        </x:is>
      </x:c>
      <x:c r="B16" s="16" t="n"/>
      <x:c r="C16" s="16" t="n"/>
      <x:c r="D16" s="16" t="n"/>
      <x:c r="E16" s="16" t="n"/>
      <x:c r="F16" s="16" t="n"/>
      <x:c r="G16" s="16" t="n"/>
      <x:c r="H16" s="16" t="n"/>
    </x:row>
    <x:row r="17" ht="28" customHeight="1">
      <x:c r="A17" s="16" t="inlineStr">
        <x:is>
          <x:t xml:space="preserve">2. Mantener CTA primario fijo en pantallas transaccionales o de decisión.</x:t>
        </x:is>
      </x:c>
      <x:c r="B17" s="16" t="n"/>
      <x:c r="C17" s="16" t="n"/>
      <x:c r="D17" s="16" t="n"/>
      <x:c r="E17" s="16" t="n"/>
      <x:c r="F17" s="16" t="n"/>
      <x:c r="G17" s="16" t="n"/>
      <x:c r="H17" s="16" t="n"/>
    </x:row>
    <x:row r="18" ht="28" customHeight="1">
      <x:c r="A18" s="16" t="inlineStr">
        <x:is>
          <x:t xml:space="preserve">3. Definir un sistema de stepper con progreso visible y mensajes de contexto.</x:t>
        </x:is>
      </x:c>
      <x:c r="B18" s="16" t="n"/>
      <x:c r="C18" s="16" t="n"/>
      <x:c r="D18" s="16" t="n"/>
      <x:c r="E18" s="16" t="n"/>
      <x:c r="F18" s="16" t="n"/>
      <x:c r="G18" s="16" t="n"/>
      <x:c r="H18" s="16" t="n"/>
    </x:row>
    <x:row r="19" ht="28" customHeight="1">
      <x:c r="A19" s="16" t="inlineStr">
        <x:is>
          <x:t xml:space="preserve">4. Revisar contraste y tamaño de texto secundario en modo oscuro y formularios.</x:t>
        </x:is>
      </x:c>
      <x:c r="B19" s="16" t="n"/>
      <x:c r="C19" s="16" t="n"/>
      <x:c r="D19" s="16" t="n"/>
      <x:c r="E19" s="16" t="n"/>
      <x:c r="F19" s="16" t="n"/>
      <x:c r="G19" s="16" t="n"/>
      <x:c r="H19" s="16" t="n"/>
    </x:row>
    <x:row r="20" ht="28" customHeight="1">
      <x:c r="A20" s="16" t="inlineStr">
        <x:is>
          <x:t xml:space="preserve">5. Reemplazar textos genéricos por microcopy orientado a la tarea y al beneficio.</x:t>
        </x:is>
      </x:c>
      <x:c r="B20" s="16" t="n"/>
      <x:c r="C20" s="16" t="n"/>
      <x:c r="D20" s="16" t="n"/>
      <x:c r="E20" s="16" t="n"/>
      <x:c r="F20" s="16" t="n"/>
      <x:c r="G20" s="16" t="n"/>
      <x:c r="H20" s="16" t="n"/>
    </x:row>
  </x:sheetData>
  <x:mergeCells>
    <x:mergeCell ref="A4:B4"/>
    <x:mergeCell ref="G4:H4"/>
    <x:mergeCell ref="E4:F4"/>
    <x:mergeCell ref="A18:H18"/>
    <x:mergeCell ref="A20:H20"/>
    <x:mergeCell ref="A16:H16"/>
    <x:mergeCell ref="A19:H19"/>
    <x:mergeCell ref="A17:H17"/>
    <x:mergeCell ref="A1:H1"/>
    <x:mergeCell ref="C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18" customWidth="1"/>
    <x:col min="4" max="4" width="12" customWidth="1"/>
    <x:col min="5" max="5" width="18" customWidth="1"/>
    <x:col min="6" max="6" width="40" customWidth="1"/>
    <x:col min="7" max="7" width="28" customWidth="1"/>
    <x:col min="8" max="8" width="12" customWidth="1"/>
    <x:col min="9" max="9" width="15" customWidth="1"/>
    <x:col min="10" max="10" width="13" customWidth="1"/>
    <x:col min="11" max="11" width="10" customWidth="1"/>
    <x:col min="12" max="12" width="11" customWidth="1"/>
    <x:col min="13" max="13" width="34" customWidth="1"/>
    <x:col min="14" max="14" width="10" customWidth="1"/>
    <x:col min="15" max="15" width="18" customWidth="1"/>
  </x:cols>
  <x:sheetData>
    <x:row r="1" ht="28" customHeight="1">
      <x:c r="A1" s="3" t="inlineStr">
        <x:is>
          <x:t xml:space="preserve">ID</x:t>
        </x:is>
      </x:c>
      <x:c r="B1" s="3" t="inlineStr">
        <x:is>
          <x:t xml:space="preserve">Referencia</x:t>
        </x:is>
      </x:c>
      <x:c r="C1" s="3" t="inlineStr">
        <x:is>
          <x:t xml:space="preserve">Categoría</x:t>
        </x:is>
      </x:c>
      <x:c r="D1" s="3" t="inlineStr">
        <x:is>
          <x:t xml:space="preserve">Tipo</x:t>
        </x:is>
      </x:c>
      <x:c r="E1" s="3" t="inlineStr">
        <x:is>
          <x:t xml:space="preserve">Pantalla/flujo</x:t>
        </x:is>
      </x:c>
      <x:c r="F1" s="3" t="inlineStr">
        <x:is>
          <x:t xml:space="preserve">Hallazgo</x:t>
        </x:is>
      </x:c>
      <x:c r="G1" s="3" t="inlineStr">
        <x:is>
          <x:t xml:space="preserve">Impacto UX</x:t>
        </x:is>
      </x:c>
      <x:c r="H1" s="3" t="inlineStr">
        <x:is>
          <x:t xml:space="preserve">Severidad (1-5)</x:t>
        </x:is>
      </x:c>
      <x:c r="I1" s="3" t="inlineStr">
        <x:is>
          <x:t xml:space="preserve">Impacto negocio (1-5)</x:t>
        </x:is>
      </x:c>
      <x:c r="J1" s="3" t="inlineStr">
        <x:is>
          <x:t xml:space="preserve">Esfuerzo (1-5)</x:t>
        </x:is>
      </x:c>
      <x:c r="K1" s="3" t="inlineStr">
        <x:is>
          <x:t xml:space="preserve">Puntaje</x:t>
        </x:is>
      </x:c>
      <x:c r="L1" s="3" t="inlineStr">
        <x:is>
          <x:t xml:space="preserve">Prioridad</x:t>
        </x:is>
      </x:c>
      <x:c r="M1" s="3" t="inlineStr">
        <x:is>
          <x:t xml:space="preserve">Recomendación</x:t>
        </x:is>
      </x:c>
      <x:c r="N1" s="3" t="inlineStr">
        <x:is>
          <x:t xml:space="preserve">Quick win</x:t>
        </x:is>
      </x:c>
      <x:c r="O1" s="3" t="inlineStr">
        <x:is>
          <x:t xml:space="preserve">Fuente</x:t>
        </x:is>
      </x:c>
    </x:row>
    <x:row r="2">
      <x:c r="A2" s="17" t="inlineStr">
        <x:is>
          <x:t xml:space="preserve">H-01</x:t>
        </x:is>
      </x:c>
      <x:c r="B2" s="17" t="inlineStr">
        <x:is>
          <x:t xml:space="preserve">Referencia 1</x:t>
        </x:is>
      </x:c>
      <x:c r="C2" s="17" t="inlineStr">
        <x:is>
          <x:t xml:space="preserve">Jerarquía visual</x:t>
        </x:is>
      </x:c>
      <x:c r="D2" s="17" t="inlineStr">
        <x:is>
          <x:t xml:space="preserve">Fortaleza</x:t>
        </x:is>
      </x:c>
      <x:c r="E2" s="17" t="inlineStr">
        <x:is>
          <x:t xml:space="preserve">Detalle de producto</x:t>
        </x:is>
      </x:c>
      <x:c r="F2" s="17" t="inlineStr">
        <x:is>
          <x:t xml:space="preserve">La imagen principal domina la pantalla y comunica valor rápidamente.</x:t>
        </x:is>
      </x:c>
      <x:c r="G2" s="17" t="inlineStr">
        <x:is>
          <x:t xml:space="preserve">Facilita escaneo y deseo de interacción.</x:t>
        </x:is>
      </x:c>
      <x:c r="H2" s="18" t="n">
        <x:v>4</x:v>
      </x:c>
      <x:c r="I2" s="18" t="n">
        <x:v>4</x:v>
      </x:c>
      <x:c r="J2" s="18" t="n">
        <x:v>2</x:v>
      </x:c>
      <x:c r="K2" s="18">
        <x:f>ROUND(H2*0.45+I2*0.35+(6-J2)*0.20,2)</x:f>
        <x:v>4</x:v>
      </x:c>
      <x:c r="L2" s="17" t="str">
        <x:f>IF(K2&gt;=4,"Alta",IF(K2&gt;=3,"Media","Baja"))</x:f>
        <x:v>Alta</x:v>
      </x:c>
      <x:c r="M2" s="17" t="inlineStr">
        <x:is>
          <x:t xml:space="preserve">Mantener hero visual pero definir reglas de recorte y safe areas.</x:t>
        </x:is>
      </x:c>
      <x:c r="N2" s="17" t="str">
        <x:f>IF(AND(H2&gt;=3,J2&lt;=2),"Sí",IF(AND(H2&gt;=4,J2&lt;=3),"Sí","No"))</x:f>
        <x:v>Sí</x:v>
      </x:c>
      <x:c r="O2" s="17" t="inlineStr">
        <x:is>
          <x:t xml:space="preserve">CU6_img-ej.webp</x:t>
        </x:is>
      </x:c>
    </x:row>
    <x:row r="3">
      <x:c r="A3" s="17" t="inlineStr">
        <x:is>
          <x:t xml:space="preserve">H-02</x:t>
        </x:is>
      </x:c>
      <x:c r="B3" s="17" t="inlineStr">
        <x:is>
          <x:t xml:space="preserve">Referencia 1</x:t>
        </x:is>
      </x:c>
      <x:c r="C3" s="17" t="inlineStr">
        <x:is>
          <x:t xml:space="preserve">Conversión y CTA</x:t>
        </x:is>
      </x:c>
      <x:c r="D3" s="17" t="inlineStr">
        <x:is>
          <x:t xml:space="preserve">Fortaleza</x:t>
        </x:is>
      </x:c>
      <x:c r="E3" s="17" t="inlineStr">
        <x:is>
          <x:t xml:space="preserve">Detalle de producto</x:t>
        </x:is>
      </x:c>
      <x:c r="F3" s="17" t="inlineStr">
        <x:is>
          <x:t xml:space="preserve">El botón “Agregar al carrito” ocupa ancho suficiente y queda en zona cómoda de toque.</x:t>
        </x:is>
      </x:c>
      <x:c r="G3" s="17" t="inlineStr">
        <x:is>
          <x:t xml:space="preserve">Refuerza la acción principal y reduce duda.</x:t>
        </x:is>
      </x:c>
      <x:c r="H3" s="18" t="n">
        <x:v>5</x:v>
      </x:c>
      <x:c r="I3" s="18" t="n">
        <x:v>5</x:v>
      </x:c>
      <x:c r="J3" s="18" t="n">
        <x:v>1</x:v>
      </x:c>
      <x:c r="K3" s="18">
        <x:f>ROUND(H3*0.45+I3*0.35+(6-J3)*0.20,2)</x:f>
        <x:v>5</x:v>
      </x:c>
      <x:c r="L3" s="17" t="str">
        <x:f>IF(K3&gt;=4,"Alta",IF(K3&gt;=3,"Media","Baja"))</x:f>
        <x:v>Alta</x:v>
      </x:c>
      <x:c r="M3" s="17" t="inlineStr">
        <x:is>
          <x:t xml:space="preserve">Usar CTA fijo o persistentemente visible en vistas críticas.</x:t>
        </x:is>
      </x:c>
      <x:c r="N3" s="17" t="str">
        <x:f>IF(AND(H3&gt;=3,J3&lt;=2),"Sí",IF(AND(H3&gt;=4,J3&lt;=3),"Sí","No"))</x:f>
        <x:v>Sí</x:v>
      </x:c>
      <x:c r="O3" s="17" t="inlineStr">
        <x:is>
          <x:t xml:space="preserve">CU6_img-ej.webp</x:t>
        </x:is>
      </x:c>
    </x:row>
    <x:row r="4">
      <x:c r="A4" s="19" t="inlineStr">
        <x:is>
          <x:t xml:space="preserve">H-03</x:t>
        </x:is>
      </x:c>
      <x:c r="B4" s="19" t="inlineStr">
        <x:is>
          <x:t xml:space="preserve">Referencia 1</x:t>
        </x:is>
      </x:c>
      <x:c r="C4" s="19" t="inlineStr">
        <x:is>
          <x:t xml:space="preserve">Contenido y copy</x:t>
        </x:is>
      </x:c>
      <x:c r="D4" s="19" t="inlineStr">
        <x:is>
          <x:t xml:space="preserve">Riesgo</x:t>
        </x:is>
      </x:c>
      <x:c r="E4" s="19" t="inlineStr">
        <x:is>
          <x:t xml:space="preserve">Detalle de producto</x:t>
        </x:is>
      </x:c>
      <x:c r="F4" s="19" t="inlineStr">
        <x:is>
          <x:t xml:space="preserve">El bloque descriptivo es extenso y poco escaneable para mobile.</x:t>
        </x:is>
      </x:c>
      <x:c r="G4" s="19" t="inlineStr">
        <x:is>
          <x:t xml:space="preserve">Puede aumentar tiempo de lectura y abandono.</x:t>
        </x:is>
      </x:c>
      <x:c r="H4" s="20" t="n">
        <x:v>3</x:v>
      </x:c>
      <x:c r="I4" s="20" t="n">
        <x:v>3</x:v>
      </x:c>
      <x:c r="J4" s="20" t="n">
        <x:v>2</x:v>
      </x:c>
      <x:c r="K4" s="20">
        <x:f>ROUND(H4*0.45+I4*0.35+(6-J4)*0.20,2)</x:f>
        <x:v>3.2</x:v>
      </x:c>
      <x:c r="L4" s="19" t="str">
        <x:f>IF(K4&gt;=4,"Alta",IF(K4&gt;=3,"Media","Baja"))</x:f>
        <x:v>Media</x:v>
      </x:c>
      <x:c r="M4" s="19" t="inlineStr">
        <x:is>
          <x:t xml:space="preserve">Reescribir en bullets o atributos clave antes del scroll largo.</x:t>
        </x:is>
      </x:c>
      <x:c r="N4" s="19" t="str">
        <x:f>IF(AND(H4&gt;=3,J4&lt;=2),"Sí",IF(AND(H4&gt;=4,J4&lt;=3),"Sí","No"))</x:f>
        <x:v>Sí</x:v>
      </x:c>
      <x:c r="O4" s="19" t="inlineStr">
        <x:is>
          <x:t xml:space="preserve">CU6_img-ej.webp</x:t>
        </x:is>
      </x:c>
    </x:row>
    <x:row r="5">
      <x:c r="A5" s="17" t="inlineStr">
        <x:is>
          <x:t xml:space="preserve">H-04</x:t>
        </x:is>
      </x:c>
      <x:c r="B5" s="17" t="inlineStr">
        <x:is>
          <x:t xml:space="preserve">Referencia 1</x:t>
        </x:is>
      </x:c>
      <x:c r="C5" s="17" t="inlineStr">
        <x:is>
          <x:t xml:space="preserve">Flujo y navegación</x:t>
        </x:is>
      </x:c>
      <x:c r="D5" s="17" t="inlineStr">
        <x:is>
          <x:t xml:space="preserve">Fortaleza</x:t>
        </x:is>
      </x:c>
      <x:c r="E5" s="17" t="inlineStr">
        <x:is>
          <x:t xml:space="preserve">Favoritos</x:t>
        </x:is>
      </x:c>
      <x:c r="F5" s="17" t="inlineStr">
        <x:is>
          <x:t xml:space="preserve">La lista de complementos permite acción rápida por item y mantiene navegación inferior visible.</x:t>
        </x:is>
      </x:c>
      <x:c r="G5" s="17" t="inlineStr">
        <x:is>
          <x:t xml:space="preserve">Disminuye saltos de contexto.</x:t>
        </x:is>
      </x:c>
      <x:c r="H5" s="18" t="n">
        <x:v>4</x:v>
      </x:c>
      <x:c r="I5" s="18" t="n">
        <x:v>4</x:v>
      </x:c>
      <x:c r="J5" s="18" t="n">
        <x:v>2</x:v>
      </x:c>
      <x:c r="K5" s="18">
        <x:f>ROUND(H5*0.45+I5*0.35+(6-J5)*0.20,2)</x:f>
        <x:v>4</x:v>
      </x:c>
      <x:c r="L5" s="17" t="str">
        <x:f>IF(K5&gt;=4,"Alta",IF(K5&gt;=3,"Media","Baja"))</x:f>
        <x:v>Alta</x:v>
      </x:c>
      <x:c r="M5" s="17" t="inlineStr">
        <x:is>
          <x:t xml:space="preserve">Conservar patrón de lista accionable con icono de compra/añadir.</x:t>
        </x:is>
      </x:c>
      <x:c r="N5" s="17" t="str">
        <x:f>IF(AND(H5&gt;=3,J5&lt;=2),"Sí",IF(AND(H5&gt;=4,J5&lt;=3),"Sí","No"))</x:f>
        <x:v>Sí</x:v>
      </x:c>
      <x:c r="O5" s="17" t="inlineStr">
        <x:is>
          <x:t xml:space="preserve">CU6_img-ej.webp</x:t>
        </x:is>
      </x:c>
    </x:row>
    <x:row r="6">
      <x:c r="A6" s="21" t="inlineStr">
        <x:is>
          <x:t xml:space="preserve">H-05</x:t>
        </x:is>
      </x:c>
      <x:c r="B6" s="21" t="inlineStr">
        <x:is>
          <x:t xml:space="preserve">Referencia 1</x:t>
        </x:is>
      </x:c>
      <x:c r="C6" s="21" t="inlineStr">
        <x:is>
          <x:t xml:space="preserve">Accesibilidad</x:t>
        </x:is>
      </x:c>
      <x:c r="D6" s="21" t="inlineStr">
        <x:is>
          <x:t xml:space="preserve">Riesgo</x:t>
        </x:is>
      </x:c>
      <x:c r="E6" s="21" t="inlineStr">
        <x:is>
          <x:t xml:space="preserve">Modo oscuro</x:t>
        </x:is>
      </x:c>
      <x:c r="F6" s="21" t="inlineStr">
        <x:is>
          <x:t xml:space="preserve">El texto pequeño en áreas de información secundaria puede sufrir contraste bajo.</x:t>
        </x:is>
      </x:c>
      <x:c r="G6" s="21" t="inlineStr">
        <x:is>
          <x:t xml:space="preserve">Afecta legibilidad y percepción de calidad.</x:t>
        </x:is>
      </x:c>
      <x:c r="H6" s="22" t="n">
        <x:v>4</x:v>
      </x:c>
      <x:c r="I6" s="22" t="n">
        <x:v>3</x:v>
      </x:c>
      <x:c r="J6" s="22" t="n">
        <x:v>3</x:v>
      </x:c>
      <x:c r="K6" s="22">
        <x:f>ROUND(H6*0.45+I6*0.35+(6-J6)*0.20,2)</x:f>
        <x:v>3.45</x:v>
      </x:c>
      <x:c r="L6" s="21" t="str">
        <x:f>IF(K6&gt;=4,"Alta",IF(K6&gt;=3,"Media","Baja"))</x:f>
        <x:v>Media</x:v>
      </x:c>
      <x:c r="M6" s="21" t="inlineStr">
        <x:is>
          <x:t xml:space="preserve">Aumentar tamaño mínimo, contraste y spacing en copy secundario.</x:t>
        </x:is>
      </x:c>
      <x:c r="N6" s="21" t="str">
        <x:f>IF(AND(H6&gt;=3,J6&lt;=2),"Sí",IF(AND(H6&gt;=4,J6&lt;=3),"Sí","No"))</x:f>
        <x:v>Sí</x:v>
      </x:c>
      <x:c r="O6" s="21" t="inlineStr">
        <x:is>
          <x:t xml:space="preserve">CU6_img-ej.webp</x:t>
        </x:is>
      </x:c>
    </x:row>
    <x:row r="7">
      <x:c r="A7" s="19" t="inlineStr">
        <x:is>
          <x:t xml:space="preserve">H-06</x:t>
        </x:is>
      </x:c>
      <x:c r="B7" s="19" t="inlineStr">
        <x:is>
          <x:t xml:space="preserve">Referencia 1</x:t>
        </x:is>
      </x:c>
      <x:c r="C7" s="19" t="inlineStr">
        <x:is>
          <x:t xml:space="preserve">Jerarquía visual</x:t>
        </x:is>
      </x:c>
      <x:c r="D7" s="19" t="inlineStr">
        <x:is>
          <x:t xml:space="preserve">Riesgo</x:t>
        </x:is>
      </x:c>
      <x:c r="E7" s="19" t="inlineStr">
        <x:is>
          <x:t xml:space="preserve">Favoritos</x:t>
        </x:is>
      </x:c>
      <x:c r="F7" s="19" t="inlineStr">
        <x:is>
          <x:t xml:space="preserve">Las tarjetas de bebida compiten visualmente entre sí por repetición y poco contraste jerárquico interno.</x:t>
        </x:is>
      </x:c>
      <x:c r="G7" s="19" t="inlineStr">
        <x:is>
          <x:t xml:space="preserve">Puede dificultar la comparación rápida.</x:t>
        </x:is>
      </x:c>
      <x:c r="H7" s="20" t="n">
        <x:v>3</x:v>
      </x:c>
      <x:c r="I7" s="20" t="n">
        <x:v>3</x:v>
      </x:c>
      <x:c r="J7" s="20" t="n">
        <x:v>2</x:v>
      </x:c>
      <x:c r="K7" s="20">
        <x:f>ROUND(H7*0.45+I7*0.35+(6-J7)*0.20,2)</x:f>
        <x:v>3.2</x:v>
      </x:c>
      <x:c r="L7" s="19" t="str">
        <x:f>IF(K7&gt;=4,"Alta",IF(K7&gt;=3,"Media","Baja"))</x:f>
        <x:v>Media</x:v>
      </x:c>
      <x:c r="M7" s="19" t="inlineStr">
        <x:is>
          <x:t xml:space="preserve">Jerarquizar mejor nombre, precio y acción usando peso visual y spacing.</x:t>
        </x:is>
      </x:c>
      <x:c r="N7" s="19" t="str">
        <x:f>IF(AND(H7&gt;=3,J7&lt;=2),"Sí",IF(AND(H7&gt;=4,J7&lt;=3),"Sí","No"))</x:f>
        <x:v>Sí</x:v>
      </x:c>
      <x:c r="O7" s="19" t="inlineStr">
        <x:is>
          <x:t xml:space="preserve">CU6_img-ej.webp</x:t>
        </x:is>
      </x:c>
    </x:row>
    <x:row r="8">
      <x:c r="A8" s="17" t="inlineStr">
        <x:is>
          <x:t xml:space="preserve">H-07</x:t>
        </x:is>
      </x:c>
      <x:c r="B8" s="17" t="inlineStr">
        <x:is>
          <x:t xml:space="preserve">Referencia 2</x:t>
        </x:is>
      </x:c>
      <x:c r="C8" s="17" t="inlineStr">
        <x:is>
          <x:t xml:space="preserve">Flujo y navegación</x:t>
        </x:is>
      </x:c>
      <x:c r="D8" s="17" t="inlineStr">
        <x:is>
          <x:t xml:space="preserve">Fortaleza</x:t>
        </x:is>
      </x:c>
      <x:c r="E8" s="17" t="inlineStr">
        <x:is>
          <x:t xml:space="preserve">Stepper / plataforma</x:t>
        </x:is>
      </x:c>
      <x:c r="F8" s="17" t="inlineStr">
        <x:is>
          <x:t xml:space="preserve">El flujo por pasos ayuda a entender avance, estado actual y siguientes decisiones.</x:t>
        </x:is>
      </x:c>
      <x:c r="G8" s="17" t="inlineStr">
        <x:is>
          <x:t xml:space="preserve">Reduce incertidumbre durante la tarea.</x:t>
        </x:is>
      </x:c>
      <x:c r="H8" s="18" t="n">
        <x:v>5</x:v>
      </x:c>
      <x:c r="I8" s="18" t="n">
        <x:v>4</x:v>
      </x:c>
      <x:c r="J8" s="18" t="n">
        <x:v>2</x:v>
      </x:c>
      <x:c r="K8" s="18">
        <x:f>ROUND(H8*0.45+I8*0.35+(6-J8)*0.20,2)</x:f>
        <x:v>4.45</x:v>
      </x:c>
      <x:c r="L8" s="17" t="str">
        <x:f>IF(K8&gt;=4,"Alta",IF(K8&gt;=3,"Media","Baja"))</x:f>
        <x:v>Alta</x:v>
      </x:c>
      <x:c r="M8" s="17" t="inlineStr">
        <x:is>
          <x:t xml:space="preserve">Adoptar stepper consistente para procesos de configuración multi-etapa.</x:t>
        </x:is>
      </x:c>
      <x:c r="N8" s="17" t="str">
        <x:f>IF(AND(H8&gt;=3,J8&lt;=2),"Sí",IF(AND(H8&gt;=4,J8&lt;=3),"Sí","No"))</x:f>
        <x:v>Sí</x:v>
      </x:c>
      <x:c r="O8" s="17" t="inlineStr">
        <x:is>
          <x:t xml:space="preserve">CU6_img-ej2.webp</x:t>
        </x:is>
      </x:c>
    </x:row>
    <x:row r="9">
      <x:c r="A9" s="17" t="inlineStr">
        <x:is>
          <x:t xml:space="preserve">H-08</x:t>
        </x:is>
      </x:c>
      <x:c r="B9" s="17" t="inlineStr">
        <x:is>
          <x:t xml:space="preserve">Referencia 2</x:t>
        </x:is>
      </x:c>
      <x:c r="C9" s="17" t="inlineStr">
        <x:is>
          <x:t xml:space="preserve">Flujo y navegación</x:t>
        </x:is>
      </x:c>
      <x:c r="D9" s="17" t="inlineStr">
        <x:is>
          <x:t xml:space="preserve">Fortaleza</x:t>
        </x:is>
      </x:c>
      <x:c r="E9" s="17" t="inlineStr">
        <x:is>
          <x:t xml:space="preserve">Previsualización</x:t>
        </x:is>
      </x:c>
      <x:c r="F9" s="17" t="inlineStr">
        <x:is>
          <x:t xml:space="preserve">La previsualización antes de publicar permite validar contenido y reducir errores.</x:t>
        </x:is>
      </x:c>
      <x:c r="G9" s="17" t="inlineStr">
        <x:is>
          <x:t xml:space="preserve">Mejora control y confianza.</x:t>
        </x:is>
      </x:c>
      <x:c r="H9" s="18" t="n">
        <x:v>5</x:v>
      </x:c>
      <x:c r="I9" s="18" t="n">
        <x:v>5</x:v>
      </x:c>
      <x:c r="J9" s="18" t="n">
        <x:v>2</x:v>
      </x:c>
      <x:c r="K9" s="18">
        <x:f>ROUND(H9*0.45+I9*0.35+(6-J9)*0.20,2)</x:f>
        <x:v>4.8</x:v>
      </x:c>
      <x:c r="L9" s="17" t="str">
        <x:f>IF(K9&gt;=4,"Alta",IF(K9&gt;=3,"Media","Baja"))</x:f>
        <x:v>Alta</x:v>
      </x:c>
      <x:c r="M9" s="17" t="inlineStr">
        <x:is>
          <x:t xml:space="preserve">Mantener pantalla de revisión previa antes de confirmar acciones sensibles.</x:t>
        </x:is>
      </x:c>
      <x:c r="N9" s="17" t="str">
        <x:f>IF(AND(H9&gt;=3,J9&lt;=2),"Sí",IF(AND(H9&gt;=4,J9&lt;=3),"Sí","No"))</x:f>
        <x:v>Sí</x:v>
      </x:c>
      <x:c r="O9" s="17" t="inlineStr">
        <x:is>
          <x:t xml:space="preserve">CU6_img-ej2.webp</x:t>
        </x:is>
      </x:c>
    </x:row>
    <x:row r="10">
      <x:c r="A10" s="19" t="inlineStr">
        <x:is>
          <x:t xml:space="preserve">H-09</x:t>
        </x:is>
      </x:c>
      <x:c r="B10" s="19" t="inlineStr">
        <x:is>
          <x:t xml:space="preserve">Referencia 2</x:t>
        </x:is>
      </x:c>
      <x:c r="C10" s="19" t="inlineStr">
        <x:is>
          <x:t xml:space="preserve">Contenido y copy</x:t>
        </x:is>
      </x:c>
      <x:c r="D10" s="19" t="inlineStr">
        <x:is>
          <x:t xml:space="preserve">Riesgo</x:t>
        </x:is>
      </x:c>
      <x:c r="E10" s="19" t="inlineStr">
        <x:is>
          <x:t xml:space="preserve">Onboarding / acceso</x:t>
        </x:is>
      </x:c>
      <x:c r="F10" s="19" t="inlineStr">
        <x:is>
          <x:t xml:space="preserve">Las pantallas mezclan mensajes de marketing con inputs, lo que puede competir por atención.</x:t>
        </x:is>
      </x:c>
      <x:c r="G10" s="19" t="inlineStr">
        <x:is>
          <x:t xml:space="preserve">Puede distraer del objetivo inmediato.</x:t>
        </x:is>
      </x:c>
      <x:c r="H10" s="20" t="n">
        <x:v>3</x:v>
      </x:c>
      <x:c r="I10" s="20" t="n">
        <x:v>4</x:v>
      </x:c>
      <x:c r="J10" s="20" t="n">
        <x:v>2</x:v>
      </x:c>
      <x:c r="K10" s="20">
        <x:f>ROUND(H10*0.45+I10*0.35+(6-J10)*0.20,2)</x:f>
        <x:v>3.55</x:v>
      </x:c>
      <x:c r="L10" s="19" t="str">
        <x:f>IF(K10&gt;=4,"Alta",IF(K10&gt;=3,"Media","Baja"))</x:f>
        <x:v>Media</x:v>
      </x:c>
      <x:c r="M10" s="19" t="inlineStr">
        <x:is>
          <x:t xml:space="preserve">Separar promesa de valor y tarea principal con jerarquía más clara.</x:t>
        </x:is>
      </x:c>
      <x:c r="N10" s="19" t="str">
        <x:f>IF(AND(H10&gt;=3,J10&lt;=2),"Sí",IF(AND(H10&gt;=4,J10&lt;=3),"Sí","No"))</x:f>
        <x:v>Sí</x:v>
      </x:c>
      <x:c r="O10" s="19" t="inlineStr">
        <x:is>
          <x:t xml:space="preserve">CU6_img-ej2.webp</x:t>
        </x:is>
      </x:c>
    </x:row>
    <x:row r="11">
      <x:c r="A11" s="21" t="inlineStr">
        <x:is>
          <x:t xml:space="preserve">H-10</x:t>
        </x:is>
      </x:c>
      <x:c r="B11" s="21" t="inlineStr">
        <x:is>
          <x:t xml:space="preserve">Referencia 2</x:t>
        </x:is>
      </x:c>
      <x:c r="C11" s="21" t="inlineStr">
        <x:is>
          <x:t xml:space="preserve">Accesibilidad</x:t>
        </x:is>
      </x:c>
      <x:c r="D11" s="21" t="inlineStr">
        <x:is>
          <x:t xml:space="preserve">Riesgo</x:t>
        </x:is>
      </x:c>
      <x:c r="E11" s="21" t="inlineStr">
        <x:is>
          <x:t xml:space="preserve">Formularios</x:t>
        </x:is>
      </x:c>
      <x:c r="F11" s="21" t="inlineStr">
        <x:is>
          <x:t xml:space="preserve">Varios labels y textos auxiliares son pequeños para lectura cómoda en mobile.</x:t>
        </x:is>
      </x:c>
      <x:c r="G11" s="21" t="inlineStr">
        <x:is>
          <x:t xml:space="preserve">Aumenta esfuerzo cognitivo y error.</x:t>
        </x:is>
      </x:c>
      <x:c r="H11" s="22" t="n">
        <x:v>4</x:v>
      </x:c>
      <x:c r="I11" s="22" t="n">
        <x:v>4</x:v>
      </x:c>
      <x:c r="J11" s="22" t="n">
        <x:v>3</x:v>
      </x:c>
      <x:c r="K11" s="22">
        <x:f>ROUND(H11*0.45+I11*0.35+(6-J11)*0.20,2)</x:f>
        <x:v>3.8</x:v>
      </x:c>
      <x:c r="L11" s="21" t="str">
        <x:f>IF(K11&gt;=4,"Alta",IF(K11&gt;=3,"Media","Baja"))</x:f>
        <x:v>Media</x:v>
      </x:c>
      <x:c r="M11" s="21" t="inlineStr">
        <x:is>
          <x:t xml:space="preserve">Definir tamaño mínimo y estados de foco/error más visibles.</x:t>
        </x:is>
      </x:c>
      <x:c r="N11" s="21" t="str">
        <x:f>IF(AND(H11&gt;=3,J11&lt;=2),"Sí",IF(AND(H11&gt;=4,J11&lt;=3),"Sí","No"))</x:f>
        <x:v>Sí</x:v>
      </x:c>
      <x:c r="O11" s="21" t="inlineStr">
        <x:is>
          <x:t xml:space="preserve">CU6_img-ej2.webp</x:t>
        </x:is>
      </x:c>
    </x:row>
    <x:row r="12">
      <x:c r="A12" s="23" t="inlineStr">
        <x:is>
          <x:t xml:space="preserve">H-11</x:t>
        </x:is>
      </x:c>
      <x:c r="B12" s="23" t="inlineStr">
        <x:is>
          <x:t xml:space="preserve">Referencia 2</x:t>
        </x:is>
      </x:c>
      <x:c r="C12" s="23" t="inlineStr">
        <x:is>
          <x:t xml:space="preserve">Flujo y navegación</x:t>
        </x:is>
      </x:c>
      <x:c r="D12" s="23" t="inlineStr">
        <x:is>
          <x:t xml:space="preserve">Riesgo</x:t>
        </x:is>
      </x:c>
      <x:c r="E12" s="23" t="inlineStr">
        <x:is>
          <x:t xml:space="preserve">Registro</x:t>
        </x:is>
      </x:c>
      <x:c r="F12" s="23" t="inlineStr">
        <x:is>
          <x:t xml:space="preserve">El formulario inicial pide muchos campos antes de mostrar valor claro.</x:t>
        </x:is>
      </x:c>
      <x:c r="G12" s="23" t="inlineStr">
        <x:is>
          <x:t xml:space="preserve">Riesgo de abandono temprano.</x:t>
        </x:is>
      </x:c>
      <x:c r="H12" s="24" t="n">
        <x:v>5</x:v>
      </x:c>
      <x:c r="I12" s="24" t="n">
        <x:v>5</x:v>
      </x:c>
      <x:c r="J12" s="24" t="n">
        <x:v>3</x:v>
      </x:c>
      <x:c r="K12" s="24">
        <x:f>ROUND(H12*0.45+I12*0.35+(6-J12)*0.20,2)</x:f>
        <x:v>4.6</x:v>
      </x:c>
      <x:c r="L12" s="23" t="str">
        <x:f>IF(K12&gt;=4,"Alta",IF(K12&gt;=3,"Media","Baja"))</x:f>
        <x:v>Alta</x:v>
      </x:c>
      <x:c r="M12" s="23" t="inlineStr">
        <x:is>
          <x:t xml:space="preserve">Reducir a campos esenciales y capturar el resto en perfil progresivo.</x:t>
        </x:is>
      </x:c>
      <x:c r="N12" s="23" t="str">
        <x:f>IF(AND(H12&gt;=3,J12&lt;=2),"Sí",IF(AND(H12&gt;=4,J12&lt;=3),"Sí","No"))</x:f>
        <x:v>Sí</x:v>
      </x:c>
      <x:c r="O12" s="23" t="inlineStr">
        <x:is>
          <x:t xml:space="preserve">CU6_img-ej2.webp</x:t>
        </x:is>
      </x:c>
    </x:row>
    <x:row r="13">
      <x:c r="A13" s="17" t="inlineStr">
        <x:is>
          <x:t xml:space="preserve">H-12</x:t>
        </x:is>
      </x:c>
      <x:c r="B13" s="17" t="inlineStr">
        <x:is>
          <x:t xml:space="preserve">Referencia 2</x:t>
        </x:is>
      </x:c>
      <x:c r="C13" s="17" t="inlineStr">
        <x:is>
          <x:t xml:space="preserve">Conversión y CTA</x:t>
        </x:is>
      </x:c>
      <x:c r="D13" s="17" t="inlineStr">
        <x:is>
          <x:t xml:space="preserve">Fortaleza</x:t>
        </x:is>
      </x:c>
      <x:c r="E13" s="17" t="inlineStr">
        <x:is>
          <x:t xml:space="preserve">Acceso social</x:t>
        </x:is>
      </x:c>
      <x:c r="F13" s="17" t="inlineStr">
        <x:is>
          <x:t xml:space="preserve">Los accesos con Facebook/Google son prominentes y están bien agrupados.</x:t>
        </x:is>
      </x:c>
      <x:c r="G13" s="17" t="inlineStr">
        <x:is>
          <x:t xml:space="preserve">Acelera inicio del flujo.</x:t>
        </x:is>
      </x:c>
      <x:c r="H13" s="18" t="n">
        <x:v>4</x:v>
      </x:c>
      <x:c r="I13" s="18" t="n">
        <x:v>4</x:v>
      </x:c>
      <x:c r="J13" s="18" t="n">
        <x:v>1</x:v>
      </x:c>
      <x:c r="K13" s="18">
        <x:f>ROUND(H13*0.45+I13*0.35+(6-J13)*0.20,2)</x:f>
        <x:v>4.2</x:v>
      </x:c>
      <x:c r="L13" s="17" t="str">
        <x:f>IF(K13&gt;=4,"Alta",IF(K13&gt;=3,"Media","Baja"))</x:f>
        <x:v>Alta</x:v>
      </x:c>
      <x:c r="M13" s="17" t="inlineStr">
        <x:is>
          <x:t xml:space="preserve">Mantener acceso social solo si existe soporte legal y técnico.</x:t>
        </x:is>
      </x:c>
      <x:c r="N13" s="17" t="str">
        <x:f>IF(AND(H13&gt;=3,J13&lt;=2),"Sí",IF(AND(H13&gt;=4,J13&lt;=3),"Sí","No"))</x:f>
        <x:v>Sí</x:v>
      </x:c>
      <x:c r="O13" s="17" t="inlineStr">
        <x:is>
          <x:t xml:space="preserve">CU6_img-ej2.webp</x:t>
        </x:is>
      </x:c>
    </x:row>
    <x:row r="14">
      <x:c r="A14" s="21" t="inlineStr">
        <x:is>
          <x:t xml:space="preserve">H-13</x:t>
        </x:is>
      </x:c>
      <x:c r="B14" s="21" t="inlineStr">
        <x:is>
          <x:t xml:space="preserve">Referencia 2</x:t>
        </x:is>
      </x:c>
      <x:c r="C14" s="21" t="inlineStr">
        <x:is>
          <x:t xml:space="preserve">Jerarquía visual</x:t>
        </x:is>
      </x:c>
      <x:c r="D14" s="21" t="inlineStr">
        <x:is>
          <x:t xml:space="preserve">Riesgo</x:t>
        </x:is>
      </x:c>
      <x:c r="E14" s="21" t="inlineStr">
        <x:is>
          <x:t xml:space="preserve">Plataforma</x:t>
        </x:is>
      </x:c>
      <x:c r="F14" s="21" t="inlineStr">
        <x:is>
          <x:t xml:space="preserve">Las opciones por tarjeta tienen controles pequeños y con poco espacio táctil.</x:t>
        </x:is>
      </x:c>
      <x:c r="G14" s="21" t="inlineStr">
        <x:is>
          <x:t xml:space="preserve">Puede generar errores de selección.</x:t>
        </x:is>
      </x:c>
      <x:c r="H14" s="22" t="n">
        <x:v>4</x:v>
      </x:c>
      <x:c r="I14" s="22" t="n">
        <x:v>4</x:v>
      </x:c>
      <x:c r="J14" s="22" t="n">
        <x:v>3</x:v>
      </x:c>
      <x:c r="K14" s="22">
        <x:f>ROUND(H14*0.45+I14*0.35+(6-J14)*0.20,2)</x:f>
        <x:v>3.8</x:v>
      </x:c>
      <x:c r="L14" s="21" t="str">
        <x:f>IF(K14&gt;=4,"Alta",IF(K14&gt;=3,"Media","Baja"))</x:f>
        <x:v>Media</x:v>
      </x:c>
      <x:c r="M14" s="21" t="inlineStr">
        <x:is>
          <x:t xml:space="preserve">Aumentar área clicable y reforzar estados seleccionados.</x:t>
        </x:is>
      </x:c>
      <x:c r="N14" s="21" t="str">
        <x:f>IF(AND(H14&gt;=3,J14&lt;=2),"Sí",IF(AND(H14&gt;=4,J14&lt;=3),"Sí","No"))</x:f>
        <x:v>Sí</x:v>
      </x:c>
      <x:c r="O14" s="21" t="inlineStr">
        <x:is>
          <x:t xml:space="preserve">CU6_img-ej2.webp</x:t>
        </x:is>
      </x:c>
    </x:row>
    <x:row r="15">
      <x:c r="A15" s="19" t="inlineStr">
        <x:is>
          <x:t xml:space="preserve">H-14</x:t>
        </x:is>
      </x:c>
      <x:c r="B15" s="19" t="inlineStr">
        <x:is>
          <x:t xml:space="preserve">Referencia 2</x:t>
        </x:is>
      </x:c>
      <x:c r="C15" s="19" t="inlineStr">
        <x:is>
          <x:t xml:space="preserve">Contenido y copy</x:t>
        </x:is>
      </x:c>
      <x:c r="D15" s="19" t="inlineStr">
        <x:is>
          <x:t xml:space="preserve">Riesgo</x:t>
        </x:is>
      </x:c>
      <x:c r="E15" s="19" t="inlineStr">
        <x:is>
          <x:t xml:space="preserve">Todo el flujo</x:t>
        </x:is>
      </x:c>
      <x:c r="F15" s="19" t="inlineStr">
        <x:is>
          <x:t xml:space="preserve">Existen textos genéricos y placeholders que no explican beneficio o consecuencia.</x:t>
        </x:is>
      </x:c>
      <x:c r="G15" s="19" t="inlineStr">
        <x:is>
          <x:t xml:space="preserve">Reduce claridad y confianza.</x:t>
        </x:is>
      </x:c>
      <x:c r="H15" s="20" t="n">
        <x:v>3</x:v>
      </x:c>
      <x:c r="I15" s="20" t="n">
        <x:v>4</x:v>
      </x:c>
      <x:c r="J15" s="20" t="n">
        <x:v>2</x:v>
      </x:c>
      <x:c r="K15" s="20">
        <x:f>ROUND(H15*0.45+I15*0.35+(6-J15)*0.20,2)</x:f>
        <x:v>3.55</x:v>
      </x:c>
      <x:c r="L15" s="19" t="str">
        <x:f>IF(K15&gt;=4,"Alta",IF(K15&gt;=3,"Media","Baja"))</x:f>
        <x:v>Media</x:v>
      </x:c>
      <x:c r="M15" s="19" t="inlineStr">
        <x:is>
          <x:t xml:space="preserve">Definir microcopy orientado a tarea, resultado y siguiente paso.</x:t>
        </x:is>
      </x:c>
      <x:c r="N15" s="19" t="str">
        <x:f>IF(AND(H15&gt;=3,J15&lt;=2),"Sí",IF(AND(H15&gt;=4,J15&lt;=3),"Sí","No"))</x:f>
        <x:v>Sí</x:v>
      </x:c>
      <x:c r="O15" s="19" t="inlineStr">
        <x:is>
          <x:t xml:space="preserve">CU6_img-ej2.webp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a6c8929e1f447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3" customWidth="1"/>
    <x:col min="3" max="3" width="22" customWidth="1"/>
    <x:col min="4" max="4" width="15" customWidth="1"/>
    <x:col min="5" max="5" width="48" customWidth="1"/>
    <x:col min="6" max="6" width="15" customWidth="1"/>
    <x:col min="7" max="7" width="12" customWidth="1"/>
    <x:col min="8" max="8" width="24" customWidth="1"/>
  </x:cols>
  <x:sheetData>
    <x:row r="1">
      <x:c r="A1" s="5" t="inlineStr">
        <x:is>
          <x:t xml:space="preserve">Orden</x:t>
        </x:is>
      </x:c>
      <x:c r="B1" s="5" t="inlineStr">
        <x:is>
          <x:t xml:space="preserve">ID hallazgo</x:t>
        </x:is>
      </x:c>
      <x:c r="C1" s="5" t="inlineStr">
        <x:is>
          <x:t xml:space="preserve">Tema</x:t>
        </x:is>
      </x:c>
      <x:c r="D1" s="5" t="inlineStr">
        <x:is>
          <x:t xml:space="preserve">Prioridad esperada</x:t>
        </x:is>
      </x:c>
      <x:c r="E1" s="5" t="inlineStr">
        <x:is>
          <x:t xml:space="preserve">Acción sugerida</x:t>
        </x:is>
      </x:c>
      <x:c r="F1" s="5" t="inlineStr">
        <x:is>
          <x:t xml:space="preserve">Owner sugerido</x:t>
        </x:is>
      </x:c>
      <x:c r="G1" s="5" t="inlineStr">
        <x:is>
          <x:t xml:space="preserve">Sprint</x:t>
        </x:is>
      </x:c>
      <x:c r="H1" s="5" t="inlineStr">
        <x:is>
          <x:t xml:space="preserve">Dependencia</x:t>
        </x:is>
      </x:c>
    </x:row>
    <x:row r="2">
      <x:c r="A2" s="25" t="n">
        <x:v>1</x:v>
      </x:c>
      <x:c r="B2" s="25" t="inlineStr">
        <x:is>
          <x:t xml:space="preserve">H-11</x:t>
        </x:is>
      </x:c>
      <x:c r="C2" s="25" t="inlineStr">
        <x:is>
          <x:t xml:space="preserve">Registro</x:t>
        </x:is>
      </x:c>
      <x:c r="D2" s="25" t="inlineStr">
        <x:is>
          <x:t xml:space="preserve">Alta</x:t>
        </x:is>
      </x:c>
      <x:c r="E2" s="25" t="inlineStr">
        <x:is>
          <x:t xml:space="preserve">Reducir formulario inicial a datos mínimos y pasar el resto a perfil progresivo.</x:t>
        </x:is>
      </x:c>
      <x:c r="F2" s="25" t="inlineStr">
        <x:is>
          <x:t xml:space="preserve">UX/Product</x:t>
        </x:is>
      </x:c>
      <x:c r="G2" s="25" t="inlineStr">
        <x:is>
          <x:t xml:space="preserve">Sprint 1</x:t>
        </x:is>
      </x:c>
      <x:c r="H2" s="25" t="inlineStr">
        <x:is>
          <x:t xml:space="preserve">Definir campos obligatorios</x:t>
        </x:is>
      </x:c>
    </x:row>
    <x:row r="3">
      <x:c r="A3" s="25" t="n">
        <x:v>2</x:v>
      </x:c>
      <x:c r="B3" s="25" t="inlineStr">
        <x:is>
          <x:t xml:space="preserve">H-05</x:t>
        </x:is>
      </x:c>
      <x:c r="C3" s="25" t="inlineStr">
        <x:is>
          <x:t xml:space="preserve">Accesibilidad dark mode</x:t>
        </x:is>
      </x:c>
      <x:c r="D3" s="25" t="inlineStr">
        <x:is>
          <x:t xml:space="preserve">Alta</x:t>
        </x:is>
      </x:c>
      <x:c r="E3" s="25" t="inlineStr">
        <x:is>
          <x:t xml:space="preserve">Ajustar contraste y tamaño mínimo en textos secundarios del modo oscuro.</x:t>
        </x:is>
      </x:c>
      <x:c r="F3" s="25" t="inlineStr">
        <x:is>
          <x:t xml:space="preserve">UI Design</x:t>
        </x:is>
      </x:c>
      <x:c r="G3" s="25" t="inlineStr">
        <x:is>
          <x:t xml:space="preserve">Sprint 1</x:t>
        </x:is>
      </x:c>
      <x:c r="H3" s="25" t="inlineStr">
        <x:is>
          <x:t xml:space="preserve">Tokens de color</x:t>
        </x:is>
      </x:c>
    </x:row>
    <x:row r="4">
      <x:c r="A4" s="25" t="n">
        <x:v>3</x:v>
      </x:c>
      <x:c r="B4" s="25" t="inlineStr">
        <x:is>
          <x:t xml:space="preserve">H-13</x:t>
        </x:is>
      </x:c>
      <x:c r="C4" s="25" t="inlineStr">
        <x:is>
          <x:t xml:space="preserve">Selección de opciones</x:t>
        </x:is>
      </x:c>
      <x:c r="D4" s="25" t="inlineStr">
        <x:is>
          <x:t xml:space="preserve">Alta</x:t>
        </x:is>
      </x:c>
      <x:c r="E4" s="25" t="inlineStr">
        <x:is>
          <x:t xml:space="preserve">Aumentar área táctil y estado seleccionado en tarjetas de plataforma/formato.</x:t>
        </x:is>
      </x:c>
      <x:c r="F4" s="25" t="inlineStr">
        <x:is>
          <x:t xml:space="preserve">UI Design</x:t>
        </x:is>
      </x:c>
      <x:c r="G4" s="25" t="inlineStr">
        <x:is>
          <x:t xml:space="preserve">Sprint 1</x:t>
        </x:is>
      </x:c>
      <x:c r="H4" s="25" t="inlineStr">
        <x:is>
          <x:t xml:space="preserve">Sistema de componentes</x:t>
        </x:is>
      </x:c>
    </x:row>
    <x:row r="5">
      <x:c r="A5" s="25" t="n">
        <x:v>4</x:v>
      </x:c>
      <x:c r="B5" s="25" t="inlineStr">
        <x:is>
          <x:t xml:space="preserve">H-03</x:t>
        </x:is>
      </x:c>
      <x:c r="C5" s="25" t="inlineStr">
        <x:is>
          <x:t xml:space="preserve">Microcopy de producto</x:t>
        </x:is>
      </x:c>
      <x:c r="D5" s="25" t="inlineStr">
        <x:is>
          <x:t xml:space="preserve">Media</x:t>
        </x:is>
      </x:c>
      <x:c r="E5" s="25" t="inlineStr">
        <x:is>
          <x:t xml:space="preserve">Sintetizar descripción extensa en bullets y atributos clave.</x:t>
        </x:is>
      </x:c>
      <x:c r="F5" s="25" t="inlineStr">
        <x:is>
          <x:t xml:space="preserve">Content/UX</x:t>
        </x:is>
      </x:c>
      <x:c r="G5" s="25" t="inlineStr">
        <x:is>
          <x:t xml:space="preserve">Sprint 2</x:t>
        </x:is>
      </x:c>
      <x:c r="H5" s="25" t="inlineStr">
        <x:is>
          <x:t xml:space="preserve">Mensajes de negocio</x:t>
        </x:is>
      </x:c>
    </x:row>
    <x:row r="6">
      <x:c r="A6" s="25" t="n">
        <x:v>5</x:v>
      </x:c>
      <x:c r="B6" s="25" t="inlineStr">
        <x:is>
          <x:t xml:space="preserve">H-08</x:t>
        </x:is>
      </x:c>
      <x:c r="C6" s="25" t="inlineStr">
        <x:is>
          <x:t xml:space="preserve">Resumen final</x:t>
        </x:is>
      </x:c>
      <x:c r="D6" s="25" t="inlineStr">
        <x:is>
          <x:t xml:space="preserve">Alta</x:t>
        </x:is>
      </x:c>
      <x:c r="E6" s="25" t="inlineStr">
        <x:is>
          <x:t xml:space="preserve">Mantener y especificar pantalla de previsualización con regreso seguro.</x:t>
        </x:is>
      </x:c>
      <x:c r="F6" s="25" t="inlineStr">
        <x:is>
          <x:t xml:space="preserve">Product</x:t>
        </x:is>
      </x:c>
      <x:c r="G6" s="25" t="inlineStr">
        <x:is>
          <x:t xml:space="preserve">Sprint 1</x:t>
        </x:is>
      </x:c>
      <x:c r="H6" s="25" t="inlineStr">
        <x:is>
          <x:t xml:space="preserve">Reglas de confirmación</x:t>
        </x:is>
      </x:c>
    </x:row>
    <x:row r="7">
      <x:c r="A7" s="25" t="n">
        <x:v>6</x:v>
      </x:c>
      <x:c r="B7" s="25" t="inlineStr">
        <x:is>
          <x:t xml:space="preserve">H-02</x:t>
        </x:is>
      </x:c>
      <x:c r="C7" s="25" t="inlineStr">
        <x:is>
          <x:t xml:space="preserve">CTA principal</x:t>
        </x:is>
      </x:c>
      <x:c r="D7" s="25" t="inlineStr">
        <x:is>
          <x:t xml:space="preserve">Alta</x:t>
        </x:is>
      </x:c>
      <x:c r="E7" s="25" t="inlineStr">
        <x:is>
          <x:t xml:space="preserve">Definir patrón fijo de CTA para acciones críticas del flujo.</x:t>
        </x:is>
      </x:c>
      <x:c r="F7" s="25" t="inlineStr">
        <x:is>
          <x:t xml:space="preserve">UX/UI</x:t>
        </x:is>
      </x:c>
      <x:c r="G7" s="25" t="inlineStr">
        <x:is>
          <x:t xml:space="preserve">Sprint 1</x:t>
        </x:is>
      </x:c>
      <x:c r="H7" s="25" t="inlineStr">
        <x:is>
          <x:t xml:space="preserve">Patrón base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235543f6b7540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0" customWidth="1"/>
    <x:col min="3" max="3" width="38" customWidth="1"/>
    <x:col min="4" max="4" width="38" customWidth="1"/>
    <x:col min="5" max="5" width="18" customWidth="1"/>
  </x:cols>
  <x:sheetData>
    <x:row r="1" ht="24" customHeight="1">
      <x:c r="A1" s="26" t="inlineStr">
        <x:is>
          <x:t xml:space="preserve">Referencias usadas para inferencia</x:t>
        </x:is>
      </x:c>
      <x:c r="B1" s="26" t="n"/>
      <x:c r="C1" s="26" t="n"/>
      <x:c r="D1" s="26" t="n"/>
      <x:c r="E1" s="26" t="n"/>
    </x:row>
    <x:row r="2">
      <x:c r="A2" s="27" t="inlineStr">
        <x:is>
          <x:t xml:space="preserve">Fuente</x:t>
        </x:is>
      </x:c>
      <x:c r="B2" s="27" t="inlineStr">
        <x:is>
          <x:t xml:space="preserve">Descripción</x:t>
        </x:is>
      </x:c>
      <x:c r="C2" s="27" t="inlineStr">
        <x:is>
          <x:t xml:space="preserve">Uso dentro del análisis</x:t>
        </x:is>
      </x:c>
      <x:c r="D2" s="27" t="inlineStr">
        <x:is>
          <x:t xml:space="preserve">Observación</x:t>
        </x:is>
      </x:c>
      <x:c r="E2" s="27" t="inlineStr">
        <x:is>
          <x:t xml:space="preserve">Archivo</x:t>
        </x:is>
      </x:c>
    </x:row>
    <x:row r="3" ht="40" customHeight="1">
      <x:c r="A3" s="25" t="inlineStr">
        <x:is>
          <x:t xml:space="preserve">Referencia 1</x:t>
        </x:is>
      </x:c>
      <x:c r="B3" s="25" t="inlineStr">
        <x:is>
          <x:t xml:space="preserve">Pantallas mobile con detalle de producto, favoritos y variante dark mode.</x:t>
        </x:is>
      </x:c>
      <x:c r="C3" s="25" t="inlineStr">
        <x:is>
          <x:t xml:space="preserve">Inspiró criterios de jerarquía visual, CTA y lista accionable.</x:t>
        </x:is>
      </x:c>
      <x:c r="D3" s="25" t="inlineStr">
        <x:is>
          <x:t xml:space="preserve">Predominio de lenguaje comercial y contenido placeholder.</x:t>
        </x:is>
      </x:c>
      <x:c r="E3" s="25" t="inlineStr">
        <x:is>
          <x:t xml:space="preserve">CU6_img-ej.webp</x:t>
        </x:is>
      </x:c>
    </x:row>
    <x:row r="4" ht="40" customHeight="1">
      <x:c r="A4" s="25" t="inlineStr">
        <x:is>
          <x:t xml:space="preserve">Referencia 2</x:t>
        </x:is>
      </x:c>
      <x:c r="B4" s="25" t="inlineStr">
        <x:is>
          <x:t xml:space="preserve">Pantallas mobile con perfil, registro, login, stepper, selección y preview.</x:t>
        </x:is>
      </x:c>
      <x:c r="C4" s="25" t="inlineStr">
        <x:is>
          <x:t xml:space="preserve">Inspiró criterios de onboarding, progreso visible y revisión final.</x:t>
        </x:is>
      </x:c>
      <x:c r="D4" s="25" t="inlineStr">
        <x:is>
          <x:t xml:space="preserve">Muestra buen flujo, pero con oportunidad de simplificar formularios.</x:t>
        </x:is>
      </x:c>
      <x:c r="E4" s="25" t="inlineStr">
        <x:is>
          <x:t xml:space="preserve">CU6_img-ej2.webp</x:t>
        </x:is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b803aca4dde44cff"/>
</x:worksheet>
</file>